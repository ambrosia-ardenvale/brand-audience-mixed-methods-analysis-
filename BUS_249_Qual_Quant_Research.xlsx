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defaultThemeVersion="202300"/>
  <mc:AlternateContent xmlns:mc="http://schemas.openxmlformats.org/markup-compatibility/2006">
    <mc:Choice Requires="x15">
      <x15ac:absPath xmlns:x15ac="http://schemas.microsoft.com/office/spreadsheetml/2010/11/ac" url="/Users/melissahunt/Desktop/"/>
    </mc:Choice>
  </mc:AlternateContent>
  <xr:revisionPtr revIDLastSave="0" documentId="8_{6C792E6C-7050-7847-8124-D8BC02DE1FC7}" xr6:coauthVersionLast="47" xr6:coauthVersionMax="47" xr10:uidLastSave="{00000000-0000-0000-0000-000000000000}"/>
  <bookViews>
    <workbookView xWindow="160" yWindow="680" windowWidth="25440" windowHeight="14900" activeTab="5" xr2:uid="{AC5DA35D-C38D-4849-8C18-0BE10DB5EA45}"/>
  </bookViews>
  <sheets>
    <sheet name="Qual_Content_Analysis" sheetId="1" r:id="rId1"/>
    <sheet name="Raw_Qual_Data" sheetId="5" r:id="rId2"/>
    <sheet name="Quant_Comment_Coding" sheetId="2" r:id="rId3"/>
    <sheet name="Analysis_Summary" sheetId="3" r:id="rId4"/>
    <sheet name="Coding_Instruments" sheetId="4" r:id="rId5"/>
    <sheet name="Tableau_Data" sheetId="6" r:id="rId6"/>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13" i="3" l="1"/>
  <c r="J9" i="3"/>
  <c r="J8" i="3"/>
  <c r="J7" i="3"/>
  <c r="J6" i="3"/>
  <c r="J5" i="3"/>
  <c r="J4" i="3"/>
  <c r="I9" i="3"/>
  <c r="I8" i="3"/>
  <c r="I7" i="3"/>
  <c r="I6" i="3"/>
  <c r="I5" i="3"/>
  <c r="I4" i="3"/>
  <c r="K16" i="2"/>
  <c r="F28" i="2"/>
  <c r="H14" i="3" s="1"/>
  <c r="G28" i="2"/>
  <c r="H15" i="3" s="1"/>
  <c r="H28" i="2"/>
  <c r="H16" i="3" s="1"/>
  <c r="I28" i="2"/>
  <c r="H17" i="3" s="1"/>
  <c r="J28" i="2"/>
  <c r="H18" i="3" s="1"/>
  <c r="E28" i="2"/>
  <c r="K27" i="2"/>
  <c r="K26" i="2"/>
  <c r="K25" i="2"/>
  <c r="K24" i="2"/>
  <c r="K23" i="2"/>
  <c r="K22" i="2"/>
  <c r="K21" i="2"/>
  <c r="K20" i="2"/>
  <c r="K19" i="2"/>
  <c r="K18" i="2"/>
  <c r="K17" i="2"/>
  <c r="K15" i="2"/>
  <c r="K14" i="2"/>
  <c r="K13" i="2"/>
  <c r="K12" i="2"/>
  <c r="K11" i="2"/>
  <c r="K10" i="2"/>
  <c r="K9" i="2"/>
  <c r="K8" i="2"/>
  <c r="K7" i="2"/>
  <c r="K6" i="2"/>
  <c r="K5" i="2"/>
  <c r="K4" i="2"/>
  <c r="I13" i="1"/>
  <c r="I14" i="1"/>
  <c r="I15" i="1"/>
  <c r="I16" i="1"/>
  <c r="I5" i="1"/>
  <c r="I6" i="1"/>
  <c r="I7" i="1"/>
  <c r="I8" i="1"/>
  <c r="I9" i="1"/>
  <c r="I10" i="1"/>
  <c r="I11" i="1"/>
  <c r="I12" i="1"/>
  <c r="I4" i="1"/>
  <c r="H17" i="1"/>
  <c r="H8" i="3" s="1"/>
  <c r="G17" i="1"/>
  <c r="H7" i="3" s="1"/>
  <c r="F17" i="1"/>
  <c r="H6" i="3" s="1"/>
  <c r="E17" i="1"/>
  <c r="H5" i="3" s="1"/>
  <c r="D17" i="1"/>
  <c r="H4" i="3" s="1"/>
  <c r="K28" i="2" l="1"/>
  <c r="H19" i="3" s="1"/>
  <c r="I17" i="1"/>
  <c r="H9" i="3" s="1"/>
</calcChain>
</file>

<file path=xl/sharedStrings.xml><?xml version="1.0" encoding="utf-8"?>
<sst xmlns="http://schemas.openxmlformats.org/spreadsheetml/2006/main" count="367" uniqueCount="235">
  <si>
    <t>Sourch Type</t>
  </si>
  <si>
    <t>Community Language</t>
  </si>
  <si>
    <t>Engagement Prompts</t>
  </si>
  <si>
    <t>Values Alignment</t>
  </si>
  <si>
    <t>Exclusivity</t>
  </si>
  <si>
    <t>Total Score</t>
  </si>
  <si>
    <t>Source Video</t>
  </si>
  <si>
    <t>Raw Comment Text</t>
  </si>
  <si>
    <t>Parasocial Intimacy</t>
  </si>
  <si>
    <t>Inner Authority Mirroring</t>
  </si>
  <si>
    <t>#</t>
  </si>
  <si>
    <t>Content Unit Title</t>
  </si>
  <si>
    <t>Inner Authority References</t>
  </si>
  <si>
    <t>Notable Quotes / Examples</t>
  </si>
  <si>
    <t>THE BARE FEMALE: Qualitative Content Analysis</t>
  </si>
  <si>
    <t>Video Description</t>
  </si>
  <si>
    <t>Community Post</t>
  </si>
  <si>
    <t>Descent into the Body | Yin Yoga (Yoni Mudra)</t>
  </si>
  <si>
    <t>Restorative Evening Series: Spine &amp; Spirals</t>
  </si>
  <si>
    <t>Move Through Fatigue / Exhaustion | Somatic Release</t>
  </si>
  <si>
    <t>Supine Yin Yoga | Deep Somatic Psoas Unwinding</t>
  </si>
  <si>
    <t>You Are Everything | Yin &amp; Yang Fusion</t>
  </si>
  <si>
    <t>Liquid Motion | 20 Min Fluid Embodiment Flow</t>
  </si>
  <si>
    <t>Unraveling the Day | Somatic Evening Yoga Flow</t>
  </si>
  <si>
    <t>Return After Absence + Pregnancy Announcement</t>
  </si>
  <si>
    <t>Personal Pregnancy Update + Prenatal Yoga Launch</t>
  </si>
  <si>
    <t>Journey to Balance Program Announcement</t>
  </si>
  <si>
    <t>100K Milestone + Unfold Membership Announcement</t>
  </si>
  <si>
    <t xml:space="preserve">60K Thank You Message + Sweaty Goddess Flow </t>
  </si>
  <si>
    <t>Sensual Soma Retreat inBODY Announcement</t>
  </si>
  <si>
    <t xml:space="preserve">"Everything you seek is already within." "into the quiet knowing of your feminine essence." "You are held. You are enough. Welcome home." </t>
  </si>
  <si>
    <t xml:space="preserve">"support you…with softness, presence, and care." "Come explore the full series with us on Unfold." "You are always welcome. With love, Lisa." </t>
  </si>
  <si>
    <t>"sanctuary for release, allowing you to embrace both rest and rejuvenation" "empowering you to embrace your emotions with compassion, understanding, and grace."</t>
  </si>
  <si>
    <t>"body's innate wisdom." "Knowing there is nothing for you to do other than to receive." "Enjoy, my loves"</t>
  </si>
  <si>
    <t>"we'll explore the vastness of our being." "Surrendering to the continuous journey rather than striving for a destination." "This is your space." "We can't wait to flow with you!"</t>
  </si>
  <si>
    <t>"Exclusive course 'Embodied Love'." "authentic truth to rise to the surface." "unearth the essence of who we truly are within." "become part of our Unfold community."</t>
  </si>
  <si>
    <t>"This class is an invitation." "return to yourself—exactly as you are." "Let yourself be held. By the Earth, by the movement, by yourself."</t>
  </si>
  <si>
    <t>"still here, still breathing together." "space is always open for you." "like-minded souls come together in devotion to their practice." "discount code YOUTUBE FAMILY" "see if it resonates for you"</t>
  </si>
  <si>
    <t>"from my heart to yours." "continuing to share space with you."  "a space for every-body to feel welcomed, supported, and lovingly held."</t>
  </si>
  <si>
    <t>"We will journey together." explore what that balance means to you in this season of your life." "an exclusive yoga practice with me." "encourage your friends and family to join in"</t>
  </si>
  <si>
    <t>"I want YOU to create this space with me." "sacred online space for yoga, for empowerment, for sensuality." "I love you —thank you for being here."</t>
  </si>
  <si>
    <t>"I am so deeply thankful for all of you." Individual naming of 28 financial supporters, "family we are creating together."</t>
  </si>
  <si>
    <t>"come together intimately and explore ourselves." "a deep, invitational journey."  "sisterhood." "safe space to share, express, and explore." "space for 7 more women in our finca (retreat space)."</t>
  </si>
  <si>
    <t>COLUMN AVERAGES</t>
  </si>
  <si>
    <t>THE BARE FEMALE: Quantitative Audience Comment Coding</t>
  </si>
  <si>
    <t>Commenter</t>
  </si>
  <si>
    <t>Sense of Belonging</t>
  </si>
  <si>
    <t>Emotional &amp; Somatic Transformation</t>
  </si>
  <si>
    <t>Loyalty &amp; Sustained Engagement</t>
  </si>
  <si>
    <t>Overall Sentiment</t>
  </si>
  <si>
    <t>TOTAL SCORE</t>
  </si>
  <si>
    <t>@aninhacabarbosa</t>
  </si>
  <si>
    <t>@drsmitakumar1</t>
  </si>
  <si>
    <t>@NevaehDaniels-u8g</t>
  </si>
  <si>
    <t>@JasmineYospanya</t>
  </si>
  <si>
    <t>@emmamatos5416</t>
  </si>
  <si>
    <t>@allisou</t>
  </si>
  <si>
    <t>@dragoonskaia7602</t>
  </si>
  <si>
    <t>@shyguyscottyy</t>
  </si>
  <si>
    <t>@brodriguez8985</t>
  </si>
  <si>
    <t>@julieragot8050</t>
  </si>
  <si>
    <t>@arriveyoga</t>
  </si>
  <si>
    <t>@meditatewithjune</t>
  </si>
  <si>
    <t>@alicethehippy</t>
  </si>
  <si>
    <t>@gildalozano5077</t>
  </si>
  <si>
    <t>@jungleboogie91</t>
  </si>
  <si>
    <t>@phoebejaneb</t>
  </si>
  <si>
    <t>@grassbench</t>
  </si>
  <si>
    <t>@kalebjames2292</t>
  </si>
  <si>
    <t>@drngthh</t>
  </si>
  <si>
    <t>@priyankahardikar6114</t>
  </si>
  <si>
    <t>@barksandtrails</t>
  </si>
  <si>
    <t>@budahbroken</t>
  </si>
  <si>
    <t>@QuintessentialMoo</t>
  </si>
  <si>
    <t>How grateful I am to have found you and your channel. Every practice is deep, powerful, and yet simple... It's always transformative to be with you.</t>
  </si>
  <si>
    <t>What a beautiful practice... found the yoni mudra so healing and meaningful as I am in my pre-menstrual phase. What a lovely practice to prepare for my bleeding. Sending love, hope you and your sweet girl are doing so well.</t>
  </si>
  <si>
    <t>This felt very sacred. Thank you. I received these words in my spirit… I give and receive love fully, I trust in love, I am love. Thank you Lisa</t>
  </si>
  <si>
    <t>This has been a very unique class to me. I don't know if somatic or something, but it moved emotions out of me. It's actually the first time that I cried during a yoga class. Thank you, this was very freeing.</t>
  </si>
  <si>
    <t>So lovely...thank you it truly did feel like honey was flowing. You are so peaceful and your practices are incredibly nourishing</t>
  </si>
  <si>
    <t>Lisa, thank you for your wonderful classes! I love your flow, and I always feel so held. This path of femininity resonates deeply, which is why I've launched my own YouTube channel offering meditation classes for women.</t>
  </si>
  <si>
    <t>I've been moving with you for years now and I love your flows. Thank you for sharing your energy with us. I loved this practice. I appreciate you</t>
  </si>
  <si>
    <t>Such calming great practice. I love all your practices you are the best online yoga instructor. You always know what the body needs to relax and I thank you.</t>
  </si>
  <si>
    <t>I experienced my first tremor in butterfly pose, was one of the deepest releases I've ever had. I feel so safe with you, so held. I can't practice with anyone else anymore.</t>
  </si>
  <si>
    <t>You are my favourite youtube yoga channel. Your words penetrate my soul so deeply. Thank you for helping me find safety and love.</t>
  </si>
  <si>
    <t>Specific embodied context (retreat). 'Connecting with same energy' = mild belonging.</t>
  </si>
  <si>
    <t>Intimate concern for Lisa's pregnancy. Cycle-specific body awareness.</t>
  </si>
  <si>
    <t>First-time emotional release. Notable that she doesn't know the word 'somatic' yet — possibly new audience.</t>
  </si>
  <si>
    <t>Sensory somatic metaphor ('honey flowing'). Brief but warm. 'Practices incredibly nourishing' =  loyalty signal.</t>
  </si>
  <si>
    <t>High loyalty: launched own channel inspired by Lisa. 'Always feel so held' = brand language.</t>
  </si>
  <si>
    <t>'Bowing and kneeling towards myself, to my body' = explicit self-reverence. Brand inner authority rhetoric.</t>
  </si>
  <si>
    <t>'Total surrender' echoes brand rhetoric of surrender. Profound emotional release = specific.</t>
  </si>
  <si>
    <t>'Safety and connection' echoes brand. Specific body state ('state of collapse'). Detailed somatic.</t>
  </si>
  <si>
    <t>'I trust in love, I am love' = explicit inner authority brand language mirrored back.</t>
  </si>
  <si>
    <t>'Emotions were allowed to be heavy' = self-acceptance language. Specific emotional account.</t>
  </si>
  <si>
    <t>Explicit duration loyalty ('for years'). 'With us' = community belonging sense.</t>
  </si>
  <si>
    <t>'I love all your practices' = implied sustained engagement. Warm but generic praise.</t>
  </si>
  <si>
    <t>'Dear Lisa' = intimate address. 'Lots and lots of love' = warm parasocial connection.</t>
  </si>
  <si>
    <t>HIGHEST LOYALTY: 'can't practice with anyone else anymore', 'so safe...so held' = brand language. Specific somatic (tremor).</t>
  </si>
  <si>
    <t>'Find safety and love' echoes brand rhetoric. 'My favourite' = explicit loyalty statement.</t>
  </si>
  <si>
    <t>Active intention to use daily = clear loyalty signal. 'Watching my mind like a hamster wheel' = specific emotional shift.</t>
  </si>
  <si>
    <t>'Learning to love my true self', 'connect with my body' = explicit brand inner authority language mirrored.</t>
  </si>
  <si>
    <t>'You are an angel' = elevated intimate framing. 'Yet another' + 'Thanks again' = repeat viewer.</t>
  </si>
  <si>
    <t>RICHEST COMMENT: mirrors brand language ('return to myself'). Reciprocal love, self-acceptance narrative.</t>
  </si>
  <si>
    <t>Discovery-in-crisis narrative. 'Every practice' + sustained use since difficult time = loyalty.</t>
  </si>
  <si>
    <t>'Any sounds my body wanted' = explicit somatic permission. 'Allways enough' + 'we' = brand inner authority + belonging.</t>
  </si>
  <si>
    <t>'Mama Bare' = intimate nickname, highest parasocial marker in dataset.</t>
  </si>
  <si>
    <t>Every practice you share feels so special. I’m truly grateful for the way you guide each session. I discovered your channel during a very difficult time, and it helped me slow down, find calm, and care for myself when I needed it most. Thank you so much</t>
  </si>
  <si>
    <t>This was one of the most beautiful practices I’ve ever done. I love how you encourage intuitive movements and fluidity in your practices, how it feels free-flowing and rhythmic like a dance. I felt so much tension release from my body as you guided us, and at the end, when you told us to get heavy on the mat because the earth can carry us, I felt so much relief. I love when you reminded us, “All of you is always welcome. All of you is always held.” Thank you so much, Lisa. Your practices help me return to myself when I feel disconnected. They help me accept myself when there are parts I struggle to accept. Your love is so healing. Sending you so much love back.</t>
  </si>
  <si>
    <t>Yet another beautiful gift for today. Thank you for sharing your gifts with the world. This flow was incredible. Such a great balance between Yin and Yang and I absolutely love the concept and integration of circles! I feel the energy flow in such a beautiful way. Thanks again Lisa, you are an angel!</t>
  </si>
  <si>
    <t>I love your videos. Your videos help me a lot in the journey of learning to love my true self. Your voice, your simple moves and your slow practicing make big differences from other
yoga channels. You taught me that yoga does not need to be complicated or hard to do, just simply connect with my body and find out joy in every movement.</t>
  </si>
  <si>
    <t>I think this is my favorite practice i have done with you. Perhaps one of my favorite online practices all together. So balanced, so grounding, so deeply relaxing and centering and i've been watching my mind like a hamster wheel today. This is very powerful. I am going to trial this as a daily morning routine. Thank you so much Lisa :) Blessings to you.</t>
  </si>
  <si>
    <t>I love everything about this - the whole practice, the postures, the birds singing, the music, the beautiful background, your soft voice and gentle guidance. I ended up so relaxed. This is absolutely perfect. Thank you so much for this beautiful gift and for everything you do! Lots and lots of love to you dear Lisa!</t>
  </si>
  <si>
    <t>Yet another transformative loving flow. Truly in love with the love you put in all your videos. This is an amazing topic to share as well, I feel everyone can truly relate and benefit from this beautiful series. I highly recommend to watch the intro to this series also, you explain very well and help set the mindset for the practice perfectly. Thanks again for sharing your beautiful gifts with us Lisa!</t>
  </si>
  <si>
    <t>An absolute gem for when the body is in a state of collapse, gentle, kind and compassionate, working with and not against the heaviness. Gentle strengthening that doesn't overwhelm my system, very complete, love the gentle shaking to move a bit of stagnant energy, the grounding elements that bring back a sense of safety and connection.
Very beautiful and so needed, thank you</t>
  </si>
  <si>
    <t>Thank you for this I cried so much and it truly felt like I was bowing and kneeling towards myself, to my body what a way to end 2025 and begin 2026. I appreciate this practice and you for sharing with us very much</t>
  </si>
  <si>
    <t>Hello, Lisa! During this class I experienced a profound emotional release, at last I found peace and felt total surrender. I think, piano music added to the effect, too. Thank you for such a deep practice.</t>
  </si>
  <si>
    <t>This was so transformative, thank you. I started and found myself steeping in frustration, loneliness, worries, and anger. Throughout this practice these emotions were allowed to be heavy and here. Thank you</t>
  </si>
  <si>
    <t>This was such a beautiful and powerful practice. I just finished hosting a 6day healing retreat on embracing your dark feminine and this practice brought some very powerful
insights...connecting with the same energy at a deeper level. Thank you for such a powerful and beautiful practice. Lots of love and gratitude to you and your wisdom!</t>
  </si>
  <si>
    <t>General warmth:'Every practice' + 'always transformative' signals loyalty. No specific somatic account.</t>
  </si>
  <si>
    <t>'Yet another' + 'Thanks again' = clear repeat viewer. 'Truly in love with the love' + 'Highly recommend' = active evangelism.</t>
  </si>
  <si>
    <t>QUALITATIVE: Average Score Per Category (0 - 2 scale)</t>
  </si>
  <si>
    <t xml:space="preserve">Inner Authority Mirroring </t>
  </si>
  <si>
    <t>DATA COLLECTION INSTRUMENTS: The Bare Female Market Research</t>
  </si>
  <si>
    <t>Category</t>
  </si>
  <si>
    <t>Operational Definition</t>
  </si>
  <si>
    <t>Examples</t>
  </si>
  <si>
    <t>Use of inclusive pronouns, group identity terms, belonging cues</t>
  </si>
  <si>
    <t>Messaging that locates wisdom, healing, and guidance within the self</t>
  </si>
  <si>
    <t>Direct calls to interact, comment, share or respond</t>
  </si>
  <si>
    <t>Messaging that signals shared beliefs or lifestyle identity</t>
  </si>
  <si>
    <t>Content framing membership as special or privileged</t>
  </si>
  <si>
    <t>“Help support you,” “loving community,” “connective sisterhood”</t>
  </si>
  <si>
    <t>Self-trust cues, embodiment references, and return/homecoming metaphors</t>
  </si>
  <si>
    <t>“Journey invites you,” “Dive into your body,” “help you navigate”</t>
  </si>
  <si>
    <t>References to transformation, mindful
living, authentic expression, soulful</t>
  </si>
  <si>
    <t>“Exclusive bundles,” “Retreats for women,” “sacred online membership”</t>
  </si>
  <si>
    <t>B. Quantitative Audience Response Coding Rubric</t>
  </si>
  <si>
    <r>
      <rPr>
        <b/>
        <i/>
        <sz val="10"/>
        <color theme="1"/>
        <rFont val="Aptos Display (Headings)"/>
      </rPr>
      <t>Unit of Analysis</t>
    </r>
    <r>
      <rPr>
        <i/>
        <sz val="10"/>
        <color theme="1"/>
        <rFont val="Aptos Display (Headings)"/>
      </rPr>
      <t xml:space="preserve">: YouTube Comments </t>
    </r>
    <r>
      <rPr>
        <b/>
        <i/>
        <sz val="10"/>
        <color theme="1"/>
        <rFont val="Aptos Display (Headings)"/>
      </rPr>
      <t>Dimensions 1 - 5</t>
    </r>
    <r>
      <rPr>
        <i/>
        <sz val="10"/>
        <color theme="1"/>
        <rFont val="Aptos Display (Headings)"/>
      </rPr>
      <t xml:space="preserve">:  0 = Absent  |  1 = Present  |  2 = Prominent  </t>
    </r>
    <r>
      <rPr>
        <b/>
        <i/>
        <sz val="10"/>
        <color theme="1"/>
        <rFont val="Aptos Display (Headings)"/>
      </rPr>
      <t>Sentiment</t>
    </r>
    <r>
      <rPr>
        <i/>
        <sz val="10"/>
        <color theme="1"/>
        <rFont val="Aptos Display (Headings)"/>
      </rPr>
      <t>:  1 = Negative  |  2 = Neutral  |  3 = Positive</t>
    </r>
  </si>
  <si>
    <t>Dimension</t>
  </si>
  <si>
    <t>Indicators</t>
  </si>
  <si>
    <t>Score Descriptions</t>
  </si>
  <si>
    <t>Parasocial Intimacy with Instructor</t>
  </si>
  <si>
    <t>0 = No belonging language
1 = Positive group feeling (“I love this community!”)
2 = Deep relational language (“I finally found my people”)</t>
  </si>
  <si>
    <t>Addresses or describes the instructor with relational, emotional, or friendship-oriented language.</t>
  </si>
  <si>
    <t>0 = No personal reference
1 = Warm but general (“she’s great,” “I love her energy”)
2 = Intimate framing (“she feels like a friend,” “your presence means everything”)</t>
  </si>
  <si>
    <t>Echoes the brand’s self-trust / inner wisdom rhetoric, describing changes in self-perception, body trust, or self-acceptance.</t>
  </si>
  <si>
    <t>0 = Absent
1 = Self-improvement language (“I feel better about myself”)
2 = Explicit usage of brand rhetoric (“I’m learning to trust myself,” “Coming home to my body”)</t>
  </si>
  <si>
    <t>0 = Absent
1 = Vague or brief mention (“it changed me”)
2 = Specific, embodied account (“I removed my IUD and began honoring my monthly cycle”)</t>
  </si>
  <si>
    <t>Mentions continued use, long membership, returning after absence, or makes strong recommendations.</t>
  </si>
  <si>
    <t>0 = Absent
1 = Implied continued use or positive recommendation
2 = Explicit loyalty statement, duration mentioned, active evangelism</t>
  </si>
  <si>
    <t>General emotional tone of comment or review.</t>
  </si>
  <si>
    <t>1 = Negative / critical
2 = Neutral / mixed
3 = Positive / enthusiastic</t>
  </si>
  <si>
    <t>Describes feeling part of community, group, shared space, including language related to being held, witnessed, not alone.</t>
  </si>
  <si>
    <t>Describes personal growth, emotional shift, embodiment or life change, pertaining to body acceptance, cyclical living or healing.</t>
  </si>
  <si>
    <t>Parasocial Intimacy vs Sense of Belonging</t>
  </si>
  <si>
    <t>Qualitative: Brand-Side Content Analysis</t>
  </si>
  <si>
    <t>Quantitative: Audience Comment Coding</t>
  </si>
  <si>
    <t>Partial Convergence: Inner Authority</t>
  </si>
  <si>
    <t>Divergence: Community Framing vs Community Experience</t>
  </si>
  <si>
    <t>Sentiment Uniformity</t>
  </si>
  <si>
    <t>Dominant Dimension &amp; significance</t>
  </si>
  <si>
    <t>Content Type Comparison: Video Descriptions vs Community Posts</t>
  </si>
  <si>
    <t>Exclusivity Finding</t>
  </si>
  <si>
    <t>Dominant Category &amp; Significance</t>
  </si>
  <si>
    <t>Integrative Insights: Connecting Qualitative &amp; Quantitative Findings</t>
  </si>
  <si>
    <t>ANALYSIS SUMMARY: The Bare Female Mixed-Method Research Analysis</t>
  </si>
  <si>
    <t>Key Data Points</t>
  </si>
  <si>
    <t>Source Type</t>
  </si>
  <si>
    <t>RAW QUALITATIVE DATA: The Bare Female Brand Content</t>
  </si>
  <si>
    <t>Raw Content Text</t>
  </si>
  <si>
    <t>Coding Reference</t>
  </si>
  <si>
    <t>Descent into the Body | Yin Yoga focused on the Yoni Mudra &amp; the Lower Body</t>
  </si>
  <si>
    <t>Restorative Evening Series Spine &amp; Spirals | Soft Evening Yoga</t>
  </si>
  <si>
    <t>Move Through Fatigue/ Exhaustion | Somatic Release Yoga Class</t>
  </si>
  <si>
    <t>You are everything | Yin &amp; Yang Fusion | Embodying the Flow of Life</t>
  </si>
  <si>
    <t>Unraveling The Day | Somatic Evening Yoga Flow For Downregulation</t>
  </si>
  <si>
    <t>Qual_Content_Analysis Row 4</t>
  </si>
  <si>
    <t>This yin class invites you into a deeply feminine and intuitive space, guided by the ancient wisdom of Yoni Mudra. More than a hand gesture, Yoni Mudra is a sacred symbol – a portal – connecting you to the source within: your womb space, your center, your creative origin. Here, we soften, not to collapse, but to remember. To remember what it feels like to be in deep presence with yourself. To feel the emotions that live beneath the surface, the ones you don’t need to fix or figure out. This class is an invitation to descend – into your body, into your truth, into the quiet knowing of your feminine essence. Yoni Mudra becomes the thread we return to again and again throughout the practice – a gentle reminder that everything you seek is already within. You are held. You are enough. Welcome home.</t>
  </si>
  <si>
    <t>Qual_Content_Analysis Row 5</t>
  </si>
  <si>
    <t>Qual_Content_Analysis Row 6</t>
  </si>
  <si>
    <t>Qual_Content_Analysis Row 7</t>
  </si>
  <si>
    <t>Qual_Content_Analysis Row 8</t>
  </si>
  <si>
    <t>Qual_Content_Analysis Row 9</t>
  </si>
  <si>
    <t>Qual_Content_Analysis Row 10</t>
  </si>
  <si>
    <t>Qual_Content_Analysis Row 11</t>
  </si>
  <si>
    <t>Qual_Content_Analysis Row 12</t>
  </si>
  <si>
    <t>Qual_Content_Analysis Row 13</t>
  </si>
  <si>
    <t>Qual_Content_Analysis Row 14</t>
  </si>
  <si>
    <t>Qual_Content_Analysis Row 15</t>
  </si>
  <si>
    <t>Qual_Content_Analysis Row 16</t>
  </si>
  <si>
    <t>This class is an invitation to lay down the day. Not just physically, but in every part of you. You will be gently guided through a practice that helps you soothe your nervous system, ground your body, and return to yourself — exactly as you are. Let yourself be held. By the earth, by the movement, by yourself. Accompanied by a specially composed soundscape by Ara Luna. What to expect A slow, body-led practice that invites you layer by layer into deeper relaxation and presence. You begin lying on your side, with a gentle breathing exercise and a first moment of arriving. From there the practice flows through soft, breath-guided movements — opening and gathering, expanding and returning — before leading you into deeper shapes and finally into a held Shavasana. You will need: a bolster or a thickly folded blanket, and optionally a block or a few books for Shavasana.</t>
  </si>
  <si>
    <t>Hello my love, This is a video of my exclusive course 'Embodied Love'. This course will be available on my Unfold membership page. However, to give you an insight, I am sharing one of the videos of this journey with you today. Today we tap into our innate fluidity. As we embark on the journey of movement on our mats, we not only explore our physical selves but also unearth the essence of who we truly are within. It is an opportunity to unravel the layers of conditioning that society has draped upon us, allowing our authentic truth to rise to the surface like a graceful stream flowing effortlessly. Through this exploration, we discover the freedom to express ourselves in ways we never thought possible, like water cascading down a serene waterfall, uninhibited and wholly unapologetic. If you want to see the entire course become part of our Unfold Community [Link] Or purchase the course separately: [Link]</t>
  </si>
  <si>
    <t>Discover the opening and deep relaxation of your psoas muscle through our Supine Yin Yoga class. This session is designed to guide you into a state of somatic unwinding, allowing your body to release tension and emotional holding patterns. Through gentle, sustained poses, you'll experience a nurturing journey inward, reconnecting with your body's innate wisdom and fostering a deep sense of peace. Knowing there is nothing for you to do other than to receive. Enjoy my loves</t>
  </si>
  <si>
    <t>This class is part of the new series "Somatic Release Series - Empower Your Emotions." This soothing somatic release yoga class was designed to address fatigue and exhaustion. This class offers gentle, restorative movements that help release tension and replenish your energy as well as some more activating moments to revitalise your energetic body. We will explore our own heaviness and use it as a starting point for exploration This practice is your sanctuary for release, allowing you to embrace both rest and rejuvenation, hopefully leaving you feeling refreshed and empowered "Somatic Release Series - Empower Your Emotions," is a transformative journey designed to help you navigate and release the powerful emotions that shape our lives. In this series, I will guide you through a variety of classes, each focused on a different emotion, using the gentle and effective combination of yoga and somatic tools. We will explore common feelings such as overwhelm, exhaustion, grief, anger, anxiety, and more. Through mindful movement, breathwork, and other somatic practices, you'll learn how to be with and make space for these emotions in your body and gently release the tension they create. This series is about empowering you to embrace your emotions with compassion, understanding, and grace. Join me on this path of emotional empowerment and discover the strength within you to move through life’s challenges with resilience and ease [Link]</t>
  </si>
  <si>
    <t>My love, this gentle, nurturing class is part of Restorative Evenings — a cozy 3-part series created to support you through this season with softness, presence, and care. In Spine &amp; Spirals, we move slowly and with tenderness through spiral-inspired shapes that hydrate and awaken the spine. A practice to release the residue of the day — not just from your body, but from your heart and nervous system, too. This class is perfect for evenings when you crave grounding, spaciousness, and a moment to come home to yourself. You can access the full Restorative Evening Series inside my membership Unfold — including: ✧ Unwind the Hips ✧ Spine &amp; Spirals (this one!) ✧ Soften the Heart. If you loved this class, come explore the full series with us on Unfold here: [Link] You are always welcome. With love, Lisa</t>
  </si>
  <si>
    <r>
      <rPr>
        <b/>
        <i/>
        <sz val="14"/>
        <color theme="1"/>
        <rFont val="Aptos Display"/>
        <scheme val="major"/>
      </rPr>
      <t>Coding Scale</t>
    </r>
    <r>
      <rPr>
        <i/>
        <sz val="14"/>
        <color theme="1"/>
        <rFont val="Aptos Display"/>
        <scheme val="major"/>
      </rPr>
      <t xml:space="preserve">:  0 = Absent  |  1 = Present  |  2 = Prominent  </t>
    </r>
    <r>
      <rPr>
        <b/>
        <sz val="14"/>
        <color theme="1"/>
        <rFont val="Aptos Display"/>
        <scheme val="major"/>
      </rPr>
      <t>:::::</t>
    </r>
    <r>
      <rPr>
        <i/>
        <sz val="14"/>
        <color theme="1"/>
        <rFont val="Aptos Display"/>
        <scheme val="major"/>
      </rPr>
      <t xml:space="preserve">  </t>
    </r>
    <r>
      <rPr>
        <b/>
        <i/>
        <sz val="14"/>
        <color theme="1"/>
        <rFont val="Aptos Display"/>
        <scheme val="major"/>
      </rPr>
      <t>Full Text</t>
    </r>
    <r>
      <rPr>
        <i/>
        <sz val="14"/>
        <color theme="1"/>
        <rFont val="Aptos Display"/>
        <scheme val="major"/>
      </rPr>
      <t>: Raw_Qual_Data</t>
    </r>
  </si>
  <si>
    <r>
      <t xml:space="preserve">QUANTITATIVE: Average Score Per Dimension (0 - 2 scale) </t>
    </r>
    <r>
      <rPr>
        <b/>
        <sz val="14"/>
        <color theme="1"/>
        <rFont val="Times New Roman"/>
        <family val="1"/>
      </rPr>
      <t>:::::</t>
    </r>
    <r>
      <rPr>
        <sz val="14"/>
        <color theme="1"/>
        <rFont val="Times New Roman"/>
        <family val="1"/>
      </rPr>
      <t xml:space="preserve"> Sentiment (1-3 scale)</t>
    </r>
  </si>
  <si>
    <t>RESEARCH COMMENTARY &amp; NOTES</t>
  </si>
  <si>
    <r>
      <rPr>
        <b/>
        <sz val="10"/>
        <color rgb="FF000000"/>
        <rFont val="Aptos Narrow"/>
        <scheme val="minor"/>
      </rPr>
      <t>Inner Authority References</t>
    </r>
    <r>
      <rPr>
        <sz val="10"/>
        <color rgb="FF000000"/>
        <rFont val="Aptos Narrow"/>
        <scheme val="minor"/>
      </rPr>
      <t xml:space="preserve"> (self-trust, coming home to the body)</t>
    </r>
    <r>
      <rPr>
        <b/>
        <sz val="10"/>
        <color rgb="FF000000"/>
        <rFont val="Aptos Narrow"/>
        <scheme val="minor"/>
      </rPr>
      <t xml:space="preserve"> </t>
    </r>
    <r>
      <rPr>
        <sz val="10"/>
        <color rgb="FF000000"/>
        <rFont val="Aptos Narrow"/>
        <scheme val="minor"/>
      </rPr>
      <t>scored 1.31 on the branding, yet</t>
    </r>
    <r>
      <rPr>
        <b/>
        <sz val="10"/>
        <color rgb="FF000000"/>
        <rFont val="Aptos Narrow"/>
        <scheme val="minor"/>
      </rPr>
      <t xml:space="preserve"> Inner Authority Mirroring</t>
    </r>
    <r>
      <rPr>
        <sz val="10"/>
        <color rgb="FF000000"/>
        <rFont val="Aptos Narrow"/>
        <scheme val="minor"/>
      </rPr>
      <t xml:space="preserve"> scored only 0.88 on the audience side. Viewers seem to </t>
    </r>
    <r>
      <rPr>
        <i/>
        <sz val="10"/>
        <color rgb="FF000000"/>
        <rFont val="Aptos Narrow"/>
        <scheme val="minor"/>
      </rPr>
      <t>feel</t>
    </r>
    <r>
      <rPr>
        <sz val="10"/>
        <color rgb="FF000000"/>
        <rFont val="Aptos Narrow"/>
        <scheme val="minor"/>
      </rPr>
      <t xml:space="preserve"> the somatic effect more than they articulate the philosophy related to their felt experience.</t>
    </r>
  </si>
  <si>
    <r>
      <rPr>
        <b/>
        <i/>
        <sz val="10"/>
        <color theme="1"/>
        <rFont val="Aptos Display (Headings)"/>
      </rPr>
      <t>Units of Analysis</t>
    </r>
    <r>
      <rPr>
        <i/>
        <sz val="10"/>
        <color theme="1"/>
        <rFont val="Aptos Display (Headings)"/>
      </rPr>
      <t xml:space="preserve">: Individual video descriptions &amp; community posts. </t>
    </r>
    <r>
      <rPr>
        <b/>
        <sz val="10"/>
        <color theme="1"/>
        <rFont val="Aptos Display (Headings)"/>
      </rPr>
      <t>:::::</t>
    </r>
    <r>
      <rPr>
        <i/>
        <sz val="10"/>
        <color theme="1"/>
        <rFont val="Aptos Display (Headings)"/>
      </rPr>
      <t xml:space="preserve">  </t>
    </r>
    <r>
      <rPr>
        <b/>
        <i/>
        <sz val="10"/>
        <color theme="1"/>
        <rFont val="Aptos Display (Headings)"/>
      </rPr>
      <t>Coding Scale:</t>
    </r>
    <r>
      <rPr>
        <i/>
        <sz val="10"/>
        <color theme="1"/>
        <rFont val="Aptos Display (Headings)"/>
      </rPr>
      <t xml:space="preserve">  0 = Absent  |  1 = Present  |  2 = Prominent</t>
    </r>
  </si>
  <si>
    <t>Hello my loves! I hope you are all having a beautiful Sunday so far! I just uploaded a new video for you- a 'Sweaty Goddess Flow'. Such a yummy class. The German version will go live later today, so don't worry I am so deeply thankful for all of you- for your constant support, your sweet words and your dedication to yourself and your practice! You all inspire me so much! We are almost at 60.000 in our little online family and it truly blows my mind. I want to say a HUGE heartfelt thank you to everyone who supported me via PayPal the past months! It truly helps me so much to create more content and to keep uploading regularly! Thank you to: Jaqueline, Andrea, Coralie, Sonia, Ellie, Pia, Sanja, Antje, Stefanie, Sissy, Leah, Melanie, Sabine, Elisa, Katja, Serena, Tommy, Madhavan, Ina, Franziska, Daniela, Julia, Susanne, Lou, Christian, Martina, Shannon, Kristina I am deeply humbled by your support and your love and I am so excited to see where the journey will take us and this family we are creating together!</t>
  </si>
  <si>
    <t>That's right, you heard it here first: The Sensual Soma is not just a training - The Sensual Soma retreat is here! This April join us LIVE for a deep dive inBODY in an absolutely breathtaking location This is our opportunity to come together intimately and explore ourselves with the divine support of one another. In the idealic setting nestled between mountains on the Balearic haven that is Mallorca, we will explore ourselves. inBODY | Somatics, Tantra, Yoga &amp; Sisterhood 30th of April - 4th of May 2024 [Link] (the entire retreat will be in English!) A quest back into the body, our relationship with ourselves and to sisterhood. Tantric rituals, Somatic practices, yin &amp; sensual yoga, intimacy building, sacred rage &amp; blue lotus ceremony just to name a few. This is an invitation to take a deep exhale and come back to safety within the body, a safe space to share, express &amp; explore. This is a deep invitational journey. Wether it be a need to connect deeper with others, to connect deeper with yourself, to take a trip to Mallorcas breathtaking nature and beauty, rest &amp; rejuvenation, yoga, movement, dance, embodiment or all the above - this my love, is your invitation. You could never regret investing in your relationship with yourself, connection to yourself aids connection to your whole life and everyone who passes through it. We already have an amazing group of women from all over the world and we have space for 7 more women in our finca! Find out more through the link</t>
  </si>
  <si>
    <t>Welcome to Day 7 of Journey to Balance! In this Yin and Yang fusion practice, we’ll play with circular movements—the circle as a powerful symbol of wholeness. Through flowing vinyasa sequences and grounding yin poses, we’ll explore the vastness of our being, both internally and externally. Circles, with no start or endpoint, remind us of life’s perpetual motion—the great rhythm of the universe. By tracing circles in our movements, we’ll cultivate a sense of completeness within, surrendering to the continuous journey rather than striving for a destination. This is your space to embody the infinite flow of life ◉ Missed the start? No worries! It’s never too late to join this free email journey. You can jump in at any point and catch up on all the practices and daily inspiration! This challenge is open to everyone and completely free. You will receive a super juicy email every day, packed with inspiration, practices and recipes. This email is the heart of this Journey! So make sure to subscribe to the emails to receive them! We will recommend practices for the days there's no new yoga class going live! There will be an exclusive Yoga practice with me every second day, each diving deeper into another layer of inner balance and Yin &amp; Yang. Plus... there may be some special gifts and surprises at the end, for all those who join in! Sign up here to receive the daily emails and stay in the loop: [Link] We can’t wait to flow with you! See you on the mat!</t>
  </si>
  <si>
    <t>**Journey to Balance - Your 12 Day Journey** ** *It's almost here!* Sweet loves, We are so, SO excited to share with you that Journey to Balance, a very special 12-day journey, is starting on December 12th. **Watch the announcement video below** &amp; [sign up here and you won’t miss a thing!] [Link] **Journey to Balance is designed to support and inspire you on the path towards more inner balance.** The softness of Yin and the strength of Yang resides in all of us, and this journey invites you to explore what that balance means to you in this season of your life. We will journey together **from December 12th until December 24th**. You will receive **a super juicy email every day**, **packed with inspiration, practices and recipes** *. This is the heart of this Journey! So make sure to subscribe to the emails to receive them! We will recommend practices for the days there's no new yoga class going live! There will be **an exclusive Yoga practice with me every other day**, each diving deeper into another layer of inner balance and Yin &amp; Yang. Plus... there may be some **special gifts and surprises** at the end, for all those who join in! This journey is open to everyone. Practices will be shared on Youtube and you sign up for the daily emails using this [Link] As this challenge is completely free and accessible to everyone, why not **encourage your friends and family to join in**? We simply can't wait to journey with you! See you in a couple of days! With love, Lisa</t>
  </si>
  <si>
    <t>A little personal update from my heart to yours My dear YouTube family, As some of you who are following me on socials or are part of my membership Unfold already know: I’m pregnant with our baby girl! This journey has already been such a deeply humbling, magical, and tender experience — and I feel so honored to be walking it while continuing to share space with you here. As my body shifts and opens to new life, you can expect to see some new offerings here on the channel: gentle, nourishing prenatal yoga classes for anyone who is currently pregnant, consciously conceiving, or simply curious about connecting with their body in a softer, more intuitive way. The first prenatal yoga class is going live today, and it comes straight from my heart (and belly!) to yours. And please know — if you’re not on the pregnancy journey yourself — I’ll still continue to create and share a wide variety of classes and practices for all bodies and stages of life. This is and always will be a space for every-body to feel welcomed, supported and lovingly held. Thank you for being here with me, in all the phases of growth and change. I can’t wait to move, breathe, and expand with you in this next chapter. With so much love, Lisa</t>
  </si>
  <si>
    <t>Hello my loves, You may have noticed that it’s been a little quiet around here lately… and I wanted to take a moment to share why. Over the past couple of months, I’ve been navigating a few things behind the scenes — not only the tender unfolding of my pregnancy (yes, our baby girl is arriving this October already! ) but also some unexpected issues with YouTube that needed a bit of extra care to sort out. It took a little longer than I hoped, but everything is working smoothly now, and I’m so happy to say: I’m back! I’ve missed showing up for you here. And I'm beyond excited to return with regular new uploads from now on. There are so many beautiful, nourishing classes waiting in the wings — and I can't wait to begin sharing them with you, beginning this Sunday! Thank you, from the bottom of my heart, for your patience, your presence, and your love as I move through this new chapter of life. It's a tender, transformative time — and knowing this community is still here, still breathing together, means more than words can say. And if you've been missing our practices together, I want to gently remind you that our Unfold membership space is always open for you. Inside Unfold, you'll find: ⚘ Hundreds of exclusive classes, meditations &amp; somatic journeys ⚘ Replays of all live sessions ⚘ Weekly new uploads of yummy content ⚘ A beautiful library of guest teachers sharing their heart’s wisdom And perhaps most precious of all — a deeply supportive, loving community space. The Unfold community is truly the heart of what we do. It’s where like-minded souls come together in devotion to their practice, to their healing, and to meeting themselves in their real, honest humanness. You are always welcome there — exactly as you are. And because I know times can be tender and I want to make this space as accessible as possible, I’m offering you a 50% discount off your first month of the monthly plan — which means you’ll get full access to Unfold for only 12€ for you first month. Use this discount code: YOUTUBEFAMILY [Link] (Valid until October 1st – and only for the monthly plan!) Plus, there’s always a 7-day free trial, so you can feel it out and see if it resonates for you. Whether you join us in the membership, on the mat here on YouTube, or simply stay connected in this space — thank you for being here. I feel deeply grateful to walk alongside you. See you this Sunday for our first new class! With love and devotion, Lisa</t>
  </si>
  <si>
    <t>Hi my loves! Okay, where do I start. First of all, there is a new TONE &amp; FLOW Video going live this afternoon for you!!!! Second- I want to take this moment to say THANK YOU to every single one of you who is part of this online family. We have reached the 100.000 mark and I am still very much in disbelief, but also feeling insanely humbled and grateful There is so much in store for you and so many beautiful things I am in the midst of creating for you! Speaking of... I have some BIG NEWS. And I thought where else to share it first but here? With you! .... I am currently creating an ONLINE YOGA MEMBERSHIP A sacred online space for yoga, for empowerment, for sensuality. Where you will find all your favorite videos PLUS SO MUCH MORE! I will take you along the creation process because I want this membership to be our save space. I want YOU to create this space with me. In my last post I asked you what classes you want to see and I wrote them ALL down and have so many beautiful projects and ideas for this membership. However, if you have any thought about this space, any wishes, any desires- leave them below! The membership will be bilingual, so all classes will be available in English and German, just like my YouTube! I love you - thank you for being here</t>
  </si>
  <si>
    <r>
      <rPr>
        <b/>
        <sz val="10"/>
        <color rgb="FF000000"/>
        <rFont val="Aptos Narrow"/>
        <scheme val="minor"/>
      </rPr>
      <t>Overall Sentiment</t>
    </r>
    <r>
      <rPr>
        <sz val="10"/>
        <color rgb="FF000000"/>
        <rFont val="Aptos Narrow"/>
        <scheme val="minor"/>
      </rPr>
      <t xml:space="preserve"> averaged a perfect 3.0. Every comment in the sample scored positive/enthusiastic. While this may reflect a sampling limitation, it could also indicate cohesiveness and general positivity within Lisa's community, as neutral or critical voices do not present. This can be considered both a data quality caveat, as well as a possible brand strength indicator.</t>
    </r>
  </si>
  <si>
    <t>Thank you so much for this practice Mama Bare, I don't normally enjoy chattiness during yoga but this was particularly remarkable. Your words were truly nourishing.</t>
  </si>
  <si>
    <t>This just made me cry so much! I let myself make any sounds my body wanted to. And oh how I cried about embracing and understanding that we are always enough. Your love is so pure and unconditional and understanding! I love all the energy and compassion, the gratitude you hold
for what it means to be a human on this earth. THANK YOU</t>
  </si>
  <si>
    <r>
      <t xml:space="preserve"> </t>
    </r>
    <r>
      <rPr>
        <b/>
        <i/>
        <sz val="12"/>
        <color theme="1"/>
        <rFont val="Aptos Display (Headings)"/>
      </rPr>
      <t>Units of analysis:</t>
    </r>
    <r>
      <rPr>
        <i/>
        <sz val="12"/>
        <color theme="1"/>
        <rFont val="Aptos Display (Headings)"/>
      </rPr>
      <t xml:space="preserve"> Video descriptions and community posts  </t>
    </r>
    <r>
      <rPr>
        <b/>
        <sz val="12"/>
        <color theme="1"/>
        <rFont val="Aptos Display (Headings)"/>
      </rPr>
      <t>:::::</t>
    </r>
    <r>
      <rPr>
        <i/>
        <sz val="12"/>
        <color theme="1"/>
        <rFont val="Aptos Display (Headings)"/>
      </rPr>
      <t xml:space="preserve">   </t>
    </r>
    <r>
      <rPr>
        <b/>
        <i/>
        <sz val="12"/>
        <color theme="1"/>
        <rFont val="Aptos Display (Headings)"/>
      </rPr>
      <t>Source</t>
    </r>
    <r>
      <rPr>
        <i/>
        <sz val="12"/>
        <color theme="1"/>
        <rFont val="Aptos Display (Headings)"/>
      </rPr>
      <t xml:space="preserve">: The Bare Female YouTube Channel  June 2026 </t>
    </r>
  </si>
  <si>
    <r>
      <rPr>
        <b/>
        <i/>
        <sz val="14"/>
        <color theme="1"/>
        <rFont val="Aptos Display"/>
        <scheme val="major"/>
      </rPr>
      <t>Dimensions 1 - 5</t>
    </r>
    <r>
      <rPr>
        <i/>
        <sz val="14"/>
        <color theme="1"/>
        <rFont val="Aptos Display"/>
        <scheme val="major"/>
      </rPr>
      <t xml:space="preserve">:  0 = Absent  |  1 = Present  |  2 = Prominent   </t>
    </r>
    <r>
      <rPr>
        <b/>
        <sz val="14"/>
        <color theme="1"/>
        <rFont val="Aptos Display"/>
        <scheme val="major"/>
      </rPr>
      <t>::::::</t>
    </r>
    <r>
      <rPr>
        <i/>
        <sz val="14"/>
        <color theme="1"/>
        <rFont val="Aptos Display"/>
        <scheme val="major"/>
      </rPr>
      <t xml:space="preserve">   </t>
    </r>
    <r>
      <rPr>
        <b/>
        <i/>
        <sz val="14"/>
        <color theme="1"/>
        <rFont val="Aptos Display"/>
        <scheme val="major"/>
      </rPr>
      <t>Sentiment</t>
    </r>
    <r>
      <rPr>
        <i/>
        <sz val="14"/>
        <color theme="1"/>
        <rFont val="Aptos Display"/>
        <scheme val="major"/>
      </rPr>
      <t>:  1 = Negative  |  2 = Neutral  |  3 = Positive</t>
    </r>
  </si>
  <si>
    <t>All Units</t>
  </si>
  <si>
    <t>Video Descriptions</t>
  </si>
  <si>
    <t>Community Posts</t>
  </si>
  <si>
    <r>
      <rPr>
        <b/>
        <sz val="10"/>
        <color rgb="FF000000"/>
        <rFont val="Aptos Narrow"/>
        <scheme val="minor"/>
      </rPr>
      <t>Exclusivity</t>
    </r>
    <r>
      <rPr>
        <sz val="10"/>
        <color rgb="FF000000"/>
        <rFont val="Aptos Narrow"/>
        <scheme val="minor"/>
      </rPr>
      <t xml:space="preserve"> scored lowest at 0.92, and is the only category below 1.0. This may relate to YouTube being a free, open channel, so hard exclusivity framing could detract from the brand's community-driven values. </t>
    </r>
    <r>
      <rPr>
        <b/>
        <sz val="10"/>
        <color rgb="FF000000"/>
        <rFont val="Aptos Narrow"/>
        <scheme val="minor"/>
      </rPr>
      <t>Exclusivity</t>
    </r>
    <r>
      <rPr>
        <sz val="10"/>
        <color rgb="FF000000"/>
        <rFont val="Aptos Narrow"/>
        <scheme val="minor"/>
      </rPr>
      <t xml:space="preserve"> scores high when commercial content is spotlighted. It may also point to intentional  rhetoric aimed at empowering each individual to choose instead of pressuring audience purchases.</t>
    </r>
  </si>
  <si>
    <r>
      <t xml:space="preserve">Community posts score higher at 2.0 on </t>
    </r>
    <r>
      <rPr>
        <b/>
        <sz val="10"/>
        <color rgb="FF000000"/>
        <rFont val="Aptos Narrow"/>
        <scheme val="minor"/>
      </rPr>
      <t>Community Language</t>
    </r>
    <r>
      <rPr>
        <sz val="10"/>
        <color rgb="FF000000"/>
        <rFont val="Aptos Narrow"/>
        <scheme val="minor"/>
      </rPr>
      <t xml:space="preserve"> than video descriptions, which average 1.43. This makes sense relationally as community posts are conversational, update-oriented, and event-driven. Video descriptions, which convey philosophical depth, score higher on</t>
    </r>
    <r>
      <rPr>
        <b/>
        <sz val="10"/>
        <color rgb="FF000000"/>
        <rFont val="Aptos Narrow"/>
        <scheme val="minor"/>
      </rPr>
      <t xml:space="preserve"> Inner Authority References</t>
    </r>
    <r>
      <rPr>
        <sz val="10"/>
        <color rgb="FF000000"/>
        <rFont val="Aptos Narrow"/>
        <scheme val="minor"/>
      </rPr>
      <t xml:space="preserve"> at 1.71, versus 0.83 for posts. Community posts handle relationship building and logistics, making the two content types, and brand voices, function complementarily to one another.</t>
    </r>
  </si>
  <si>
    <r>
      <rPr>
        <b/>
        <sz val="10"/>
        <color rgb="FF000000"/>
        <rFont val="Aptos Narrow"/>
        <scheme val="minor"/>
      </rPr>
      <t>Emotional &amp; Somatic Transformation</t>
    </r>
    <r>
      <rPr>
        <sz val="10"/>
        <color rgb="FF000000"/>
        <rFont val="Aptos Narrow"/>
        <scheme val="minor"/>
      </rPr>
      <t xml:space="preserve"> scored highest at 1.50, by a wide margin. Viewers are describing cathartic, embodied experiences: crying, trembling, releasing tension, discovering their cycle, moving through grief. This directly mirrors the brand's top category:</t>
    </r>
    <r>
      <rPr>
        <b/>
        <sz val="10"/>
        <color rgb="FF000000"/>
        <rFont val="Aptos Narrow"/>
        <scheme val="minor"/>
      </rPr>
      <t xml:space="preserve"> Values Alignment</t>
    </r>
    <r>
      <rPr>
        <sz val="10"/>
        <color rgb="FF000000"/>
        <rFont val="Aptos Narrow"/>
        <scheme val="minor"/>
      </rPr>
      <t>.</t>
    </r>
  </si>
  <si>
    <r>
      <rPr>
        <b/>
        <sz val="10"/>
        <color rgb="FF000000"/>
        <rFont val="Aptos Narrow"/>
        <scheme val="minor"/>
      </rPr>
      <t>Parasocial Intimacy</t>
    </r>
    <r>
      <rPr>
        <sz val="10"/>
        <color rgb="FF000000"/>
        <rFont val="Aptos Narrow"/>
        <scheme val="minor"/>
      </rPr>
      <t xml:space="preserve"> at 1.25 scored notably higher than </t>
    </r>
    <r>
      <rPr>
        <b/>
        <sz val="10"/>
        <color rgb="FF000000"/>
        <rFont val="Aptos Narrow"/>
        <scheme val="minor"/>
      </rPr>
      <t>Sense of Belonging</t>
    </r>
    <r>
      <rPr>
        <sz val="10"/>
        <color rgb="FF000000"/>
        <rFont val="Aptos Narrow"/>
        <scheme val="minor"/>
      </rPr>
      <t xml:space="preserve"> at 0.88. Viewers connect to Lisa intimately, calling her 'dear Lisa,' 'Mama Bare,' 'an angel,' and expressing love directly to her, a great deal more than they convey feeling part of a community or any intimacy toward one another. </t>
    </r>
  </si>
  <si>
    <r>
      <rPr>
        <b/>
        <sz val="10"/>
        <color rgb="FF000000"/>
        <rFont val="Aptos Narrow"/>
        <scheme val="minor"/>
      </rPr>
      <t>Community Language</t>
    </r>
    <r>
      <rPr>
        <sz val="10"/>
        <color rgb="FF000000"/>
        <rFont val="Aptos Narrow"/>
        <scheme val="minor"/>
      </rPr>
      <t xml:space="preserve"> is the second-highest brand category at 1.69, but </t>
    </r>
    <r>
      <rPr>
        <b/>
        <sz val="10"/>
        <color rgb="FF000000"/>
        <rFont val="Aptos Narrow"/>
        <scheme val="minor"/>
      </rPr>
      <t>Sense of Belonging</t>
    </r>
    <r>
      <rPr>
        <sz val="10"/>
        <color rgb="FF000000"/>
        <rFont val="Aptos Narrow"/>
        <scheme val="minor"/>
      </rPr>
      <t xml:space="preserve"> is the lowest audience dimension at 0.88. Lisa uses inclusive language ('our family,' 'sweet loves,' 'we journey together') consistently, yet viewers experience the channel primarily as a direct, personal relationship with Lisa rather than as a platform to connect as a larger community.</t>
    </r>
  </si>
  <si>
    <r>
      <t xml:space="preserve">Eight comments scored 10+ out of 12 possible points, connecting across all dimensions: </t>
    </r>
    <r>
      <rPr>
        <b/>
        <sz val="10"/>
        <color rgb="FF000000"/>
        <rFont val="Aptos Narrow"/>
        <scheme val="minor"/>
      </rPr>
      <t>Belonging</t>
    </r>
    <r>
      <rPr>
        <sz val="10"/>
        <color rgb="FF000000"/>
        <rFont val="Aptos Narrow"/>
        <scheme val="minor"/>
      </rPr>
      <t xml:space="preserve">, </t>
    </r>
    <r>
      <rPr>
        <b/>
        <sz val="10"/>
        <color rgb="FF000000"/>
        <rFont val="Aptos Narrow"/>
        <scheme val="minor"/>
      </rPr>
      <t>Parasocial Intimacy</t>
    </r>
    <r>
      <rPr>
        <sz val="10"/>
        <color rgb="FF000000"/>
        <rFont val="Aptos Narrow"/>
        <scheme val="minor"/>
      </rPr>
      <t xml:space="preserve">, </t>
    </r>
    <r>
      <rPr>
        <b/>
        <sz val="10"/>
        <color rgb="FF000000"/>
        <rFont val="Aptos Narrow"/>
        <scheme val="minor"/>
      </rPr>
      <t>Inner Authority Mirroring</t>
    </r>
    <r>
      <rPr>
        <sz val="10"/>
        <color rgb="FF000000"/>
        <rFont val="Aptos Narrow"/>
        <scheme val="minor"/>
      </rPr>
      <t xml:space="preserve">, </t>
    </r>
    <r>
      <rPr>
        <b/>
        <sz val="10"/>
        <color rgb="FF000000"/>
        <rFont val="Aptos Narrow"/>
        <scheme val="minor"/>
      </rPr>
      <t>Somatic Transformation</t>
    </r>
    <r>
      <rPr>
        <sz val="10"/>
        <color rgb="FF000000"/>
        <rFont val="Aptos Narrow"/>
        <scheme val="minor"/>
      </rPr>
      <t xml:space="preserve">, and </t>
    </r>
    <r>
      <rPr>
        <b/>
        <sz val="10"/>
        <color rgb="FF000000"/>
        <rFont val="Aptos Narrow"/>
        <scheme val="minor"/>
      </rPr>
      <t>Loyalty</t>
    </r>
    <r>
      <rPr>
        <sz val="10"/>
        <color rgb="FF000000"/>
        <rFont val="Aptos Narrow"/>
        <scheme val="minor"/>
      </rPr>
      <t>. These comments contain the richest language for understanding the depth of connection cultivated by the brand. Also noteworthy that 33% of our sample exemplifies "superfan" status, pointing to potential further research in spotlighting these lifeblood brand-audience relationships.</t>
    </r>
  </si>
  <si>
    <r>
      <t xml:space="preserve">The clearest intersection forms between the brand's </t>
    </r>
    <r>
      <rPr>
        <b/>
        <sz val="10"/>
        <color rgb="FF000000"/>
        <rFont val="Aptos Narrow"/>
        <scheme val="minor"/>
      </rPr>
      <t>Values Alignment</t>
    </r>
    <r>
      <rPr>
        <sz val="10"/>
        <color rgb="FF000000"/>
        <rFont val="Aptos Narrow"/>
        <scheme val="minor"/>
      </rPr>
      <t xml:space="preserve"> dominance and the audience's </t>
    </r>
    <r>
      <rPr>
        <b/>
        <sz val="10"/>
        <color rgb="FF000000"/>
        <rFont val="Aptos Narrow"/>
        <scheme val="minor"/>
      </rPr>
      <t>Emotional &amp; Somatic Transformation</t>
    </r>
    <r>
      <rPr>
        <sz val="10"/>
        <color rgb="FF000000"/>
        <rFont val="Aptos Narrow"/>
        <scheme val="minor"/>
      </rPr>
      <t xml:space="preserve"> response. Lisa consistently speaks about transformation, embodiment, and feminine healing, and viewers report experiencing exactly those transcendent qualities. Brand rhetoric and audience outcome therefore appear well-aligned.</t>
    </r>
  </si>
  <si>
    <t>Alignment: Somatic Depth</t>
  </si>
  <si>
    <r>
      <rPr>
        <b/>
        <sz val="10"/>
        <color rgb="FF000000"/>
        <rFont val="Aptos Narrow"/>
        <scheme val="minor"/>
      </rPr>
      <t>Values Alignment</t>
    </r>
    <r>
      <rPr>
        <sz val="10"/>
        <color rgb="FF000000"/>
        <rFont val="Aptos Narrow"/>
        <scheme val="minor"/>
      </rPr>
      <t xml:space="preserve"> scored highest at 1.92 across all 13 content units. This indicates that shared beliefs around somatic healing, embodiment, feminine wisdom, and nervous system regulation directly inform the brand. Almost every piece of content Lisa publishes, whether a video description or a community post, uses philosophy-infused language. This is an effective differentiation method in a crowded wellness market.</t>
    </r>
  </si>
  <si>
    <t>A. Qualitative Content Analysis Coding Schema</t>
  </si>
  <si>
    <r>
      <t xml:space="preserve">⚑  </t>
    </r>
    <r>
      <rPr>
        <b/>
        <sz val="14"/>
        <color theme="1"/>
        <rFont val="Aptos Narrow (Body)"/>
      </rPr>
      <t>Methodological Note</t>
    </r>
    <r>
      <rPr>
        <b/>
        <sz val="14"/>
        <color theme="1"/>
        <rFont val="Aptos Narrow"/>
        <scheme val="minor"/>
      </rPr>
      <t xml:space="preserve">: </t>
    </r>
    <r>
      <rPr>
        <i/>
        <sz val="14"/>
        <color theme="1"/>
        <rFont val="Aptos Narrow"/>
        <scheme val="minor"/>
      </rPr>
      <t>The original research proposal included pinned/featured comments as a third unit of critique for the qualitative content analysis. Upon conducting fieldwork, it was determined that The Bare Female does not use the pinned comment feature. The sample was therefore redistributed across video descriptions and community posts.</t>
    </r>
  </si>
  <si>
    <t>Content_Type</t>
  </si>
  <si>
    <t>Score</t>
  </si>
  <si>
    <t>Dimension_Pair</t>
  </si>
  <si>
    <t>Side</t>
  </si>
  <si>
    <t>Brand</t>
  </si>
  <si>
    <t>Audience</t>
  </si>
  <si>
    <t xml:space="preserve">Brand </t>
  </si>
  <si>
    <t>Values &amp; Somatic</t>
  </si>
  <si>
    <t>Inner Authority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</si>
</sst>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x14ac:knownFonts="1">
    <font>
      <sz val="12"/>
      <color theme="1"/>
      <name val="Aptos Narrow"/>
      <family val="2"/>
      <scheme val="minor"/>
    </font>
    <font>
      <sz val="14"/>
      <color theme="1"/>
      <name val="Times New Roman"/>
      <family val="1"/>
    </font>
    <font>
      <sz val="14"/>
      <color theme="0"/>
      <name val="Times New Roman"/>
      <family val="1"/>
    </font>
    <font>
      <i/>
      <sz val="14"/>
      <color theme="1"/>
      <name val="Aptos Display"/>
      <scheme val="major"/>
    </font>
    <font>
      <sz val="22"/>
      <color theme="0"/>
      <name val="Times New Roman"/>
      <family val="1"/>
    </font>
    <font>
      <sz val="16"/>
      <color theme="1"/>
      <name val="Aptos Narrow"/>
      <family val="2"/>
      <scheme val="minor"/>
    </font>
    <font>
      <b/>
      <sz val="12"/>
      <color theme="1"/>
      <name val="Aptos Narrow"/>
      <scheme val="minor"/>
    </font>
    <font>
      <sz val="14"/>
      <color theme="1"/>
      <name val="Aptos Narrow"/>
      <family val="2"/>
      <scheme val="minor"/>
    </font>
    <font>
      <b/>
      <sz val="14"/>
      <color theme="1"/>
      <name val="Aptos Narrow"/>
      <scheme val="minor"/>
    </font>
    <font>
      <b/>
      <sz val="14"/>
      <color theme="1"/>
      <name val="Aptos Narrow (Body)"/>
    </font>
    <font>
      <i/>
      <sz val="10"/>
      <color theme="1"/>
      <name val="Aptos Display (Headings)"/>
    </font>
    <font>
      <sz val="10"/>
      <color theme="1"/>
      <name val="Aptos Narrow"/>
      <family val="2"/>
      <scheme val="minor"/>
    </font>
    <font>
      <b/>
      <i/>
      <sz val="10"/>
      <color theme="1"/>
      <name val="Aptos Display (Headings)"/>
    </font>
    <font>
      <sz val="18"/>
      <color theme="0"/>
      <name val="Times New Roman"/>
      <family val="1"/>
    </font>
    <font>
      <i/>
      <sz val="14"/>
      <color theme="1"/>
      <name val="Aptos Narrow"/>
      <scheme val="minor"/>
    </font>
    <font>
      <sz val="16"/>
      <color theme="1"/>
      <name val="Times New Roman"/>
      <family val="1"/>
    </font>
    <font>
      <sz val="18"/>
      <color theme="1"/>
      <name val="Aptos Narrow"/>
      <family val="2"/>
      <scheme val="minor"/>
    </font>
    <font>
      <sz val="22"/>
      <color theme="1"/>
      <name val="Aptos Narrow"/>
      <family val="2"/>
      <scheme val="minor"/>
    </font>
    <font>
      <b/>
      <sz val="10"/>
      <color rgb="FF000000"/>
      <name val="Aptos Narrow"/>
      <scheme val="minor"/>
    </font>
    <font>
      <sz val="10"/>
      <color rgb="FF000000"/>
      <name val="Aptos Narrow"/>
      <scheme val="minor"/>
    </font>
    <font>
      <b/>
      <sz val="14"/>
      <color rgb="FF000000"/>
      <name val="Aptos Narrow"/>
      <scheme val="minor"/>
    </font>
    <font>
      <sz val="16"/>
      <color rgb="FF000000"/>
      <name val="Times New Roman"/>
      <family val="1"/>
    </font>
    <font>
      <sz val="16"/>
      <color rgb="FFFFFFFF"/>
      <name val="Times New Roman"/>
      <family val="1"/>
    </font>
    <font>
      <b/>
      <i/>
      <sz val="14"/>
      <color theme="1"/>
      <name val="Aptos Display"/>
      <scheme val="major"/>
    </font>
    <font>
      <sz val="10"/>
      <color theme="1"/>
      <name val="Aptos Narrow (Body)"/>
    </font>
    <font>
      <b/>
      <sz val="14"/>
      <color theme="1"/>
      <name val="Aptos Display"/>
      <scheme val="major"/>
    </font>
    <font>
      <b/>
      <sz val="10"/>
      <color theme="1"/>
      <name val="Aptos Display (Headings)"/>
    </font>
    <font>
      <b/>
      <sz val="14"/>
      <color theme="1"/>
      <name val="Times New Roman"/>
      <family val="1"/>
    </font>
    <font>
      <sz val="18"/>
      <color rgb="FFFFFFFF"/>
      <name val="Times New Roman"/>
      <family val="1"/>
    </font>
    <font>
      <i/>
      <sz val="10"/>
      <color rgb="FF000000"/>
      <name val="Aptos Narrow"/>
      <scheme val="minor"/>
    </font>
    <font>
      <sz val="26"/>
      <color theme="0"/>
      <name val="Times New Roman"/>
      <family val="1"/>
    </font>
    <font>
      <b/>
      <sz val="12"/>
      <color theme="1"/>
      <name val="Aptos Display (Headings)"/>
    </font>
    <font>
      <sz val="12"/>
      <color theme="1"/>
      <name val="Times New Roman"/>
      <family val="1"/>
    </font>
    <font>
      <i/>
      <sz val="12"/>
      <color theme="1"/>
      <name val="Aptos Display (Headings)"/>
    </font>
    <font>
      <b/>
      <i/>
      <sz val="12"/>
      <color theme="1"/>
      <name val="Aptos Display (Headings)"/>
    </font>
    <font>
      <i/>
      <sz val="12"/>
      <color theme="1"/>
      <name val="Aptos Narrow"/>
      <family val="2"/>
      <scheme val="minor"/>
    </font>
    <font>
      <i/>
      <sz val="10"/>
      <color theme="1"/>
      <name val="Aptos Narrow"/>
      <family val="2"/>
      <scheme val="minor"/>
    </font>
    <font>
      <sz val="12"/>
      <color theme="0"/>
      <name val="Aptos Narrow"/>
      <family val="2"/>
      <scheme val="minor"/>
    </font>
    <font>
      <sz val="12"/>
      <color theme="1"/>
      <name val="Aptos Narrow"/>
      <scheme val="minor"/>
    </font>
    <font>
      <sz val="12"/>
      <color rgb="FFFAF5EE"/>
      <name val="Times New Roman"/>
      <family val="1"/>
    </font>
    <font>
      <b/>
      <sz val="12"/>
      <color rgb="FFFAF5EE"/>
      <name val="Times New Roman"/>
      <family val="1"/>
    </font>
  </fonts>
  <fills count="21">
    <fill>
      <patternFill patternType="none"/>
    </fill>
    <fill>
      <patternFill patternType="gray125"/>
    </fill>
    <fill>
      <patternFill patternType="solid">
        <fgColor rgb="FF603500"/>
        <bgColor indexed="64"/>
      </patternFill>
    </fill>
    <fill>
      <patternFill patternType="solid">
        <fgColor theme="0" tint="-4.9989318521683403E-2"/>
        <bgColor indexed="64"/>
      </patternFill>
    </fill>
    <fill>
      <patternFill patternType="solid">
        <fgColor rgb="FFFAF5EE"/>
        <bgColor indexed="64"/>
      </patternFill>
    </fill>
    <fill>
      <patternFill patternType="solid">
        <fgColor rgb="FFCCB480"/>
        <bgColor indexed="64"/>
      </patternFill>
    </fill>
    <fill>
      <patternFill patternType="solid">
        <fgColor rgb="FFE6D2B3"/>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0"/>
        <bgColor indexed="64"/>
      </patternFill>
    </fill>
    <fill>
      <patternFill patternType="solid">
        <fgColor rgb="FFFAF5EE"/>
        <bgColor rgb="FFF2F2F2"/>
      </patternFill>
    </fill>
    <fill>
      <patternFill patternType="solid">
        <fgColor rgb="FF603500"/>
        <bgColor rgb="FF603500"/>
      </patternFill>
    </fill>
    <fill>
      <patternFill patternType="solid">
        <fgColor theme="0" tint="-4.9989318521683403E-2"/>
        <bgColor rgb="FFFAF5EE"/>
      </patternFill>
    </fill>
    <fill>
      <patternFill patternType="solid">
        <fgColor theme="0" tint="-4.9989318521683403E-2"/>
        <bgColor rgb="FFD9D9D9"/>
      </patternFill>
    </fill>
    <fill>
      <patternFill patternType="solid">
        <fgColor rgb="FFFAF5EE"/>
        <bgColor rgb="FFFAF5EE"/>
      </patternFill>
    </fill>
    <fill>
      <patternFill patternType="solid">
        <fgColor rgb="FFCCB480"/>
        <bgColor rgb="FFC8D4E8"/>
      </patternFill>
    </fill>
    <fill>
      <patternFill patternType="solid">
        <fgColor rgb="FFCCB480"/>
        <bgColor rgb="FFCCB480"/>
      </patternFill>
    </fill>
    <fill>
      <patternFill patternType="solid">
        <fgColor rgb="FFCCB480"/>
        <bgColor rgb="FFD9D9D9"/>
      </patternFill>
    </fill>
    <fill>
      <patternFill patternType="solid">
        <fgColor rgb="FFFAF5EE"/>
        <bgColor rgb="FFD6E8D0"/>
      </patternFill>
    </fill>
    <fill>
      <patternFill patternType="solid">
        <fgColor theme="0" tint="-4.9989318521683403E-2"/>
        <bgColor rgb="FFF2F2F2"/>
      </patternFill>
    </fill>
    <fill>
      <patternFill patternType="solid">
        <fgColor theme="0" tint="-4.9989318521683403E-2"/>
        <bgColor rgb="FFD6E8D0"/>
      </patternFill>
    </fill>
  </fills>
  <borders count="132">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rgb="FF945200"/>
      </left>
      <right style="thin">
        <color rgb="FF945200"/>
      </right>
      <top/>
      <bottom style="thin">
        <color rgb="FF945200"/>
      </bottom>
      <diagonal/>
    </border>
    <border>
      <left style="thin">
        <color rgb="FF945200"/>
      </left>
      <right/>
      <top/>
      <bottom/>
      <diagonal/>
    </border>
    <border>
      <left/>
      <right style="thin">
        <color rgb="FF945200"/>
      </right>
      <top/>
      <bottom/>
      <diagonal/>
    </border>
    <border>
      <left style="thin">
        <color rgb="FF603500"/>
      </left>
      <right style="thin">
        <color rgb="FF603500"/>
      </right>
      <top style="thin">
        <color rgb="FF603500"/>
      </top>
      <bottom style="thin">
        <color rgb="FF603500"/>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rgb="FF603500"/>
      </left>
      <right style="thin">
        <color rgb="FF603500"/>
      </right>
      <top/>
      <bottom style="thin">
        <color rgb="FF603500"/>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top/>
      <bottom style="thin">
        <color theme="0" tint="-0.24994659260841701"/>
      </bottom>
      <diagonal/>
    </border>
    <border>
      <left style="thin">
        <color indexed="64"/>
      </left>
      <right style="thin">
        <color indexed="64"/>
      </right>
      <top style="thin">
        <color theme="0" tint="-0.24994659260841701"/>
      </top>
      <bottom/>
      <diagonal/>
    </border>
    <border>
      <left style="thin">
        <color rgb="FF603500"/>
      </left>
      <right style="thin">
        <color indexed="64"/>
      </right>
      <top/>
      <bottom/>
      <diagonal/>
    </border>
    <border>
      <left style="thin">
        <color indexed="64"/>
      </left>
      <right style="thin">
        <color rgb="FF603500"/>
      </right>
      <top/>
      <bottom/>
      <diagonal/>
    </border>
    <border>
      <left/>
      <right style="thin">
        <color rgb="FF603500"/>
      </right>
      <top/>
      <bottom/>
      <diagonal/>
    </border>
    <border>
      <left/>
      <right/>
      <top style="thin">
        <color rgb="FF603500"/>
      </top>
      <bottom/>
      <diagonal/>
    </border>
    <border>
      <left/>
      <right style="thin">
        <color rgb="FF603500"/>
      </right>
      <top style="thin">
        <color rgb="FF603500"/>
      </top>
      <bottom/>
      <diagonal/>
    </border>
    <border>
      <left/>
      <right/>
      <top/>
      <bottom style="thin">
        <color rgb="FF603500"/>
      </bottom>
      <diagonal/>
    </border>
    <border>
      <left/>
      <right style="thin">
        <color rgb="FF603500"/>
      </right>
      <top/>
      <bottom style="thin">
        <color rgb="FF603500"/>
      </bottom>
      <diagonal/>
    </border>
    <border>
      <left style="thin">
        <color rgb="FF603500"/>
      </left>
      <right style="thin">
        <color indexed="64"/>
      </right>
      <top style="thin">
        <color theme="0" tint="-0.24994659260841701"/>
      </top>
      <bottom/>
      <diagonal/>
    </border>
    <border>
      <left style="thin">
        <color indexed="64"/>
      </left>
      <right style="thin">
        <color rgb="FF603500"/>
      </right>
      <top style="thin">
        <color theme="0" tint="-0.24994659260841701"/>
      </top>
      <bottom/>
      <diagonal/>
    </border>
    <border>
      <left style="thin">
        <color rgb="FF603500"/>
      </left>
      <right style="thin">
        <color theme="0" tint="-0.24994659260841701"/>
      </right>
      <top/>
      <bottom style="thin">
        <color theme="0" tint="-0.24994659260841701"/>
      </bottom>
      <diagonal/>
    </border>
    <border>
      <left/>
      <right style="thin">
        <color indexed="64"/>
      </right>
      <top/>
      <bottom/>
      <diagonal/>
    </border>
    <border>
      <left style="thin">
        <color rgb="FF603500"/>
      </left>
      <right/>
      <top style="thin">
        <color rgb="FF603500"/>
      </top>
      <bottom style="thin">
        <color rgb="FF603500"/>
      </bottom>
      <diagonal/>
    </border>
    <border>
      <left/>
      <right/>
      <top style="thin">
        <color rgb="FF603500"/>
      </top>
      <bottom style="thin">
        <color rgb="FF603500"/>
      </bottom>
      <diagonal/>
    </border>
    <border>
      <left/>
      <right style="thin">
        <color rgb="FF603500"/>
      </right>
      <top style="thin">
        <color rgb="FF603500"/>
      </top>
      <bottom style="thin">
        <color rgb="FF603500"/>
      </bottom>
      <diagonal/>
    </border>
    <border>
      <left/>
      <right/>
      <top/>
      <bottom style="thin">
        <color indexed="64"/>
      </bottom>
      <diagonal/>
    </border>
    <border>
      <left/>
      <right style="thin">
        <color indexed="64"/>
      </right>
      <top/>
      <bottom style="thin">
        <color indexed="64"/>
      </bottom>
      <diagonal/>
    </border>
    <border>
      <left/>
      <right/>
      <top style="thin">
        <color rgb="FF603500"/>
      </top>
      <bottom style="thin">
        <color theme="0" tint="-0.24994659260841701"/>
      </bottom>
      <diagonal/>
    </border>
    <border>
      <left style="thin">
        <color theme="0" tint="-0.24994659260841701"/>
      </left>
      <right style="thin">
        <color theme="0" tint="-0.24994659260841701"/>
      </right>
      <top/>
      <bottom style="thin">
        <color rgb="FF603500"/>
      </bottom>
      <diagonal/>
    </border>
    <border>
      <left style="thin">
        <color rgb="FF603500"/>
      </left>
      <right style="thin">
        <color rgb="FF603500"/>
      </right>
      <top style="thin">
        <color rgb="FF603500"/>
      </top>
      <bottom style="thin">
        <color indexed="64"/>
      </bottom>
      <diagonal/>
    </border>
    <border>
      <left style="thin">
        <color rgb="FF603500"/>
      </left>
      <right style="thin">
        <color rgb="FF603500"/>
      </right>
      <top style="thin">
        <color indexed="64"/>
      </top>
      <bottom style="thin">
        <color indexed="64"/>
      </bottom>
      <diagonal/>
    </border>
    <border>
      <left style="thin">
        <color rgb="FF603500"/>
      </left>
      <right style="thin">
        <color rgb="FF603500"/>
      </right>
      <top/>
      <bottom style="thin">
        <color indexed="64"/>
      </bottom>
      <diagonal/>
    </border>
    <border>
      <left style="thin">
        <color rgb="FF603500"/>
      </left>
      <right style="thin">
        <color theme="0" tint="-0.24994659260841701"/>
      </right>
      <top/>
      <bottom style="thin">
        <color rgb="FF603500"/>
      </bottom>
      <diagonal/>
    </border>
    <border>
      <left style="thin">
        <color theme="0" tint="-0.24994659260841701"/>
      </left>
      <right/>
      <top/>
      <bottom style="thin">
        <color rgb="FF603500"/>
      </bottom>
      <diagonal/>
    </border>
    <border>
      <left style="thin">
        <color rgb="FF603500"/>
      </left>
      <right style="thin">
        <color rgb="FF603500"/>
      </right>
      <top style="thin">
        <color rgb="FF603500"/>
      </top>
      <bottom style="thin">
        <color rgb="FFCCB480"/>
      </bottom>
      <diagonal/>
    </border>
    <border>
      <left style="thin">
        <color rgb="FF603500"/>
      </left>
      <right style="thin">
        <color theme="0" tint="-0.24994659260841701"/>
      </right>
      <top style="thin">
        <color rgb="FF603500"/>
      </top>
      <bottom style="thin">
        <color rgb="FFCCB480"/>
      </bottom>
      <diagonal/>
    </border>
    <border>
      <left style="thin">
        <color theme="0" tint="-0.24994659260841701"/>
      </left>
      <right style="thin">
        <color theme="0" tint="-0.24994659260841701"/>
      </right>
      <top style="thin">
        <color rgb="FF603500"/>
      </top>
      <bottom style="thin">
        <color rgb="FFCCB480"/>
      </bottom>
      <diagonal/>
    </border>
    <border>
      <left style="thin">
        <color theme="0" tint="-0.24994659260841701"/>
      </left>
      <right style="thin">
        <color rgb="FF603500"/>
      </right>
      <top style="thin">
        <color rgb="FF603500"/>
      </top>
      <bottom style="thin">
        <color rgb="FFCCB480"/>
      </bottom>
      <diagonal/>
    </border>
    <border>
      <left style="thin">
        <color rgb="FF603500"/>
      </left>
      <right style="thin">
        <color rgb="FF603500"/>
      </right>
      <top style="thin">
        <color rgb="FFCCB480"/>
      </top>
      <bottom style="thin">
        <color rgb="FFCCB480"/>
      </bottom>
      <diagonal/>
    </border>
    <border>
      <left style="thin">
        <color rgb="FF603500"/>
      </left>
      <right style="thin">
        <color theme="0" tint="-0.24994659260841701"/>
      </right>
      <top style="thin">
        <color rgb="FFCCB480"/>
      </top>
      <bottom style="thin">
        <color rgb="FFCCB480"/>
      </bottom>
      <diagonal/>
    </border>
    <border>
      <left style="thin">
        <color theme="0" tint="-0.24994659260841701"/>
      </left>
      <right style="thin">
        <color theme="0" tint="-0.24994659260841701"/>
      </right>
      <top style="thin">
        <color rgb="FFCCB480"/>
      </top>
      <bottom style="thin">
        <color rgb="FFCCB480"/>
      </bottom>
      <diagonal/>
    </border>
    <border>
      <left style="thin">
        <color theme="0" tint="-0.24994659260841701"/>
      </left>
      <right style="thin">
        <color rgb="FF603500"/>
      </right>
      <top style="thin">
        <color rgb="FFCCB480"/>
      </top>
      <bottom style="thin">
        <color rgb="FFCCB480"/>
      </bottom>
      <diagonal/>
    </border>
    <border>
      <left style="thin">
        <color indexed="64"/>
      </left>
      <right style="thin">
        <color indexed="64"/>
      </right>
      <top style="thin">
        <color rgb="FF603500"/>
      </top>
      <bottom style="thin">
        <color rgb="FFCCB480"/>
      </bottom>
      <diagonal/>
    </border>
    <border>
      <left style="thin">
        <color indexed="64"/>
      </left>
      <right style="thin">
        <color rgb="FFCCB480"/>
      </right>
      <top style="thin">
        <color rgb="FF603500"/>
      </top>
      <bottom style="thin">
        <color rgb="FFCCB480"/>
      </bottom>
      <diagonal/>
    </border>
    <border>
      <left style="thin">
        <color indexed="64"/>
      </left>
      <right style="thin">
        <color indexed="64"/>
      </right>
      <top style="thin">
        <color rgb="FFCCB480"/>
      </top>
      <bottom style="thin">
        <color rgb="FFCCB480"/>
      </bottom>
      <diagonal/>
    </border>
    <border>
      <left style="thin">
        <color indexed="64"/>
      </left>
      <right style="thin">
        <color rgb="FFCCB480"/>
      </right>
      <top style="thin">
        <color rgb="FFCCB480"/>
      </top>
      <bottom style="thin">
        <color rgb="FFCCB480"/>
      </bottom>
      <diagonal/>
    </border>
    <border>
      <left style="thin">
        <color indexed="64"/>
      </left>
      <right style="thin">
        <color indexed="64"/>
      </right>
      <top style="thin">
        <color rgb="FFCCB480"/>
      </top>
      <bottom style="thin">
        <color indexed="64"/>
      </bottom>
      <diagonal/>
    </border>
    <border>
      <left style="thin">
        <color indexed="64"/>
      </left>
      <right style="thin">
        <color rgb="FFCCB480"/>
      </right>
      <top style="thin">
        <color rgb="FFCCB480"/>
      </top>
      <bottom style="thin">
        <color indexed="64"/>
      </bottom>
      <diagonal/>
    </border>
    <border>
      <left/>
      <right/>
      <top style="thin">
        <color rgb="FF603500"/>
      </top>
      <bottom style="thin">
        <color rgb="FFCCB480"/>
      </bottom>
      <diagonal/>
    </border>
    <border>
      <left/>
      <right style="thin">
        <color rgb="FFCCB480"/>
      </right>
      <top style="thin">
        <color rgb="FF603500"/>
      </top>
      <bottom style="thin">
        <color rgb="FFCCB480"/>
      </bottom>
      <diagonal/>
    </border>
    <border>
      <left style="thin">
        <color theme="0" tint="-0.24994659260841701"/>
      </left>
      <right/>
      <top style="thin">
        <color rgb="FFCCB480"/>
      </top>
      <bottom style="thin">
        <color rgb="FFCCB480"/>
      </bottom>
      <diagonal/>
    </border>
    <border>
      <left/>
      <right/>
      <top style="thin">
        <color rgb="FFCCB480"/>
      </top>
      <bottom style="thin">
        <color rgb="FFCCB480"/>
      </bottom>
      <diagonal/>
    </border>
    <border>
      <left/>
      <right style="thin">
        <color rgb="FFCCB480"/>
      </right>
      <top style="thin">
        <color rgb="FFCCB480"/>
      </top>
      <bottom style="thin">
        <color rgb="FFCCB480"/>
      </bottom>
      <diagonal/>
    </border>
    <border>
      <left/>
      <right/>
      <top style="thin">
        <color rgb="FFCCB480"/>
      </top>
      <bottom style="thin">
        <color indexed="64"/>
      </bottom>
      <diagonal/>
    </border>
    <border>
      <left/>
      <right style="thin">
        <color rgb="FFCCB480"/>
      </right>
      <top style="thin">
        <color rgb="FFCCB480"/>
      </top>
      <bottom style="thin">
        <color indexed="64"/>
      </bottom>
      <diagonal/>
    </border>
    <border>
      <left style="thin">
        <color rgb="FF603500"/>
      </left>
      <right style="thin">
        <color rgb="FFCCB480"/>
      </right>
      <top/>
      <bottom style="thin">
        <color rgb="FF603500"/>
      </bottom>
      <diagonal/>
    </border>
    <border>
      <left style="thin">
        <color rgb="FFCCB480"/>
      </left>
      <right style="thin">
        <color rgb="FFCCB480"/>
      </right>
      <top/>
      <bottom style="thin">
        <color rgb="FF603500"/>
      </bottom>
      <diagonal/>
    </border>
    <border>
      <left style="thin">
        <color rgb="FFCCB480"/>
      </left>
      <right style="thin">
        <color rgb="FF603500"/>
      </right>
      <top/>
      <bottom style="thin">
        <color rgb="FF603500"/>
      </bottom>
      <diagonal/>
    </border>
    <border>
      <left style="thin">
        <color rgb="FF603500"/>
      </left>
      <right style="thin">
        <color theme="0" tint="-0.24994659260841701"/>
      </right>
      <top/>
      <bottom style="thin">
        <color rgb="FFCCB480"/>
      </bottom>
      <diagonal/>
    </border>
    <border>
      <left style="thin">
        <color theme="0" tint="-0.24994659260841701"/>
      </left>
      <right style="thin">
        <color theme="0" tint="-0.24994659260841701"/>
      </right>
      <top/>
      <bottom style="thin">
        <color rgb="FFCCB480"/>
      </bottom>
      <diagonal/>
    </border>
    <border>
      <left style="thin">
        <color theme="0" tint="-0.24994659260841701"/>
      </left>
      <right style="thin">
        <color rgb="FF603500"/>
      </right>
      <top/>
      <bottom style="thin">
        <color rgb="FFCCB480"/>
      </bottom>
      <diagonal/>
    </border>
    <border>
      <left style="thin">
        <color rgb="FF603500"/>
      </left>
      <right style="thin">
        <color rgb="FF603500"/>
      </right>
      <top/>
      <bottom style="thin">
        <color rgb="FFCCB480"/>
      </bottom>
      <diagonal/>
    </border>
    <border>
      <left style="thin">
        <color rgb="FF603500"/>
      </left>
      <right style="thin">
        <color rgb="FFCCB480"/>
      </right>
      <top style="thin">
        <color rgb="FF603500"/>
      </top>
      <bottom style="thin">
        <color rgb="FF603500"/>
      </bottom>
      <diagonal/>
    </border>
    <border>
      <left style="thin">
        <color rgb="FFCCB480"/>
      </left>
      <right style="thin">
        <color rgb="FFCCB480"/>
      </right>
      <top style="thin">
        <color rgb="FF603500"/>
      </top>
      <bottom style="thin">
        <color rgb="FF603500"/>
      </bottom>
      <diagonal/>
    </border>
    <border>
      <left style="thin">
        <color rgb="FFCCB480"/>
      </left>
      <right style="thin">
        <color rgb="FF603500"/>
      </right>
      <top style="thin">
        <color rgb="FF603500"/>
      </top>
      <bottom style="thin">
        <color rgb="FF603500"/>
      </bottom>
      <diagonal/>
    </border>
    <border>
      <left style="thin">
        <color rgb="FF603500"/>
      </left>
      <right/>
      <top/>
      <bottom/>
      <diagonal/>
    </border>
    <border>
      <left style="thin">
        <color rgb="FF603500"/>
      </left>
      <right/>
      <top style="thin">
        <color rgb="FF603500"/>
      </top>
      <bottom style="thin">
        <color theme="0" tint="-0.24994659260841701"/>
      </bottom>
      <diagonal/>
    </border>
    <border>
      <left/>
      <right style="thin">
        <color rgb="FF603500"/>
      </right>
      <top style="thin">
        <color rgb="FF603500"/>
      </top>
      <bottom style="thin">
        <color theme="0" tint="-0.24994659260841701"/>
      </bottom>
      <diagonal/>
    </border>
    <border>
      <left style="thin">
        <color theme="0" tint="-0.24994659260841701"/>
      </left>
      <right/>
      <top/>
      <bottom style="thin">
        <color rgb="FFCCB480"/>
      </bottom>
      <diagonal/>
    </border>
    <border>
      <left/>
      <right/>
      <top/>
      <bottom style="thin">
        <color rgb="FFCCB480"/>
      </bottom>
      <diagonal/>
    </border>
    <border>
      <left/>
      <right style="thin">
        <color theme="0" tint="-0.24994659260841701"/>
      </right>
      <top/>
      <bottom style="thin">
        <color rgb="FFCCB480"/>
      </bottom>
      <diagonal/>
    </border>
    <border>
      <left/>
      <right style="thin">
        <color theme="0" tint="-0.24994659260841701"/>
      </right>
      <top style="thin">
        <color rgb="FFCCB480"/>
      </top>
      <bottom style="thin">
        <color rgb="FFCCB480"/>
      </bottom>
      <diagonal/>
    </border>
    <border>
      <left style="thin">
        <color theme="0" tint="-0.24994659260841701"/>
      </left>
      <right/>
      <top style="thin">
        <color rgb="FFCCB480"/>
      </top>
      <bottom/>
      <diagonal/>
    </border>
    <border>
      <left/>
      <right/>
      <top style="thin">
        <color rgb="FFCCB480"/>
      </top>
      <bottom/>
      <diagonal/>
    </border>
    <border>
      <left style="thin">
        <color theme="0" tint="-0.24994659260841701"/>
      </left>
      <right/>
      <top style="thin">
        <color rgb="FFCCB480"/>
      </top>
      <bottom style="thin">
        <color rgb="FF603500"/>
      </bottom>
      <diagonal/>
    </border>
    <border>
      <left/>
      <right/>
      <top style="thin">
        <color rgb="FFCCB480"/>
      </top>
      <bottom style="thin">
        <color rgb="FF603500"/>
      </bottom>
      <diagonal/>
    </border>
    <border>
      <left/>
      <right style="thin">
        <color theme="0" tint="-0.24994659260841701"/>
      </right>
      <top style="thin">
        <color rgb="FFCCB480"/>
      </top>
      <bottom style="thin">
        <color rgb="FF603500"/>
      </bottom>
      <diagonal/>
    </border>
    <border>
      <left/>
      <right style="thin">
        <color rgb="FF603500"/>
      </right>
      <top/>
      <bottom style="thin">
        <color rgb="FFCCB480"/>
      </bottom>
      <diagonal/>
    </border>
    <border>
      <left/>
      <right style="thin">
        <color rgb="FF603500"/>
      </right>
      <top style="thin">
        <color rgb="FFCCB480"/>
      </top>
      <bottom style="thin">
        <color rgb="FFCCB480"/>
      </bottom>
      <diagonal/>
    </border>
    <border>
      <left/>
      <right style="thin">
        <color rgb="FF603500"/>
      </right>
      <top style="thin">
        <color rgb="FFCCB480"/>
      </top>
      <bottom style="thin">
        <color rgb="FF603500"/>
      </bottom>
      <diagonal/>
    </border>
    <border>
      <left style="thin">
        <color rgb="FF603500"/>
      </left>
      <right/>
      <top/>
      <bottom style="thin">
        <color rgb="FFCCB480"/>
      </bottom>
      <diagonal/>
    </border>
    <border>
      <left style="thin">
        <color rgb="FF603500"/>
      </left>
      <right/>
      <top style="thin">
        <color rgb="FFCCB480"/>
      </top>
      <bottom style="thin">
        <color rgb="FFCCB480"/>
      </bottom>
      <diagonal/>
    </border>
    <border>
      <left style="thin">
        <color rgb="FF603500"/>
      </left>
      <right/>
      <top style="thin">
        <color rgb="FFCCB480"/>
      </top>
      <bottom style="thin">
        <color rgb="FF603500"/>
      </bottom>
      <diagonal/>
    </border>
    <border>
      <left style="thin">
        <color indexed="64"/>
      </left>
      <right/>
      <top/>
      <bottom/>
      <diagonal/>
    </border>
    <border>
      <left/>
      <right style="thin">
        <color rgb="FF603500"/>
      </right>
      <top style="thin">
        <color rgb="FFCCB480"/>
      </top>
      <bottom/>
      <diagonal/>
    </border>
    <border>
      <left style="thin">
        <color rgb="FFBBBBBB"/>
      </left>
      <right/>
      <top style="thin">
        <color rgb="FFCCB480"/>
      </top>
      <bottom style="thin">
        <color rgb="FFCCB480"/>
      </bottom>
      <diagonal/>
    </border>
    <border>
      <left style="thin">
        <color rgb="FFBBBBBB"/>
      </left>
      <right style="thin">
        <color rgb="FF603500"/>
      </right>
      <top style="thin">
        <color rgb="FFCCB480"/>
      </top>
      <bottom style="thin">
        <color rgb="FFCCB480"/>
      </bottom>
      <diagonal/>
    </border>
    <border>
      <left style="thin">
        <color rgb="FF603500"/>
      </left>
      <right/>
      <top style="thin">
        <color rgb="FF603500"/>
      </top>
      <bottom/>
      <diagonal/>
    </border>
    <border>
      <left style="thin">
        <color rgb="FFBBBBBB"/>
      </left>
      <right/>
      <top style="thin">
        <color rgb="FF603500"/>
      </top>
      <bottom/>
      <diagonal/>
    </border>
    <border>
      <left style="thin">
        <color rgb="FFBBBBBB"/>
      </left>
      <right style="thin">
        <color rgb="FF603500"/>
      </right>
      <top style="thin">
        <color rgb="FF603500"/>
      </top>
      <bottom/>
      <diagonal/>
    </border>
    <border>
      <left style="thin">
        <color rgb="FFBBBBBB"/>
      </left>
      <right/>
      <top/>
      <bottom style="thin">
        <color rgb="FFCCB480"/>
      </bottom>
      <diagonal/>
    </border>
    <border>
      <left style="thin">
        <color rgb="FFBBBBBB"/>
      </left>
      <right style="thin">
        <color rgb="FF603500"/>
      </right>
      <top/>
      <bottom style="thin">
        <color rgb="FFCCB480"/>
      </bottom>
      <diagonal/>
    </border>
    <border>
      <left style="thin">
        <color rgb="FFBBBBBB"/>
      </left>
      <right/>
      <top style="thin">
        <color rgb="FF603500"/>
      </top>
      <bottom style="thin">
        <color rgb="FF603500"/>
      </bottom>
      <diagonal/>
    </border>
    <border>
      <left style="thin">
        <color rgb="FFBBBBBB"/>
      </left>
      <right style="thin">
        <color rgb="FF603500"/>
      </right>
      <top style="thin">
        <color rgb="FF603500"/>
      </top>
      <bottom style="thin">
        <color rgb="FF603500"/>
      </bottom>
      <diagonal/>
    </border>
    <border>
      <left style="thin">
        <color rgb="FFBBBBBB"/>
      </left>
      <right/>
      <top style="thin">
        <color rgb="FFCCB480"/>
      </top>
      <bottom style="thin">
        <color rgb="FF603500"/>
      </bottom>
      <diagonal/>
    </border>
    <border>
      <left style="thin">
        <color rgb="FFBBBBBB"/>
      </left>
      <right style="thin">
        <color rgb="FF603500"/>
      </right>
      <top style="thin">
        <color rgb="FFCCB480"/>
      </top>
      <bottom style="thin">
        <color rgb="FF603500"/>
      </bottom>
      <diagonal/>
    </border>
    <border>
      <left style="thin">
        <color rgb="FF603500"/>
      </left>
      <right/>
      <top style="thin">
        <color rgb="FFCCB480"/>
      </top>
      <bottom/>
      <diagonal/>
    </border>
    <border>
      <left style="thin">
        <color rgb="FFBBBBBB"/>
      </left>
      <right/>
      <top style="thin">
        <color rgb="FFCCB480"/>
      </top>
      <bottom/>
      <diagonal/>
    </border>
    <border>
      <left style="thin">
        <color rgb="FFBBBBBB"/>
      </left>
      <right style="thin">
        <color rgb="FF603500"/>
      </right>
      <top style="thin">
        <color rgb="FFCCB480"/>
      </top>
      <bottom/>
      <diagonal/>
    </border>
    <border>
      <left style="thin">
        <color rgb="FF603500"/>
      </left>
      <right/>
      <top style="thin">
        <color rgb="FF603500"/>
      </top>
      <bottom style="thin">
        <color rgb="FFCCB480"/>
      </bottom>
      <diagonal/>
    </border>
    <border>
      <left/>
      <right style="thin">
        <color theme="0" tint="-0.24994659260841701"/>
      </right>
      <top style="thin">
        <color rgb="FF603500"/>
      </top>
      <bottom style="thin">
        <color rgb="FFCCB480"/>
      </bottom>
      <diagonal/>
    </border>
    <border>
      <left style="thin">
        <color rgb="FF603500"/>
      </left>
      <right/>
      <top style="thin">
        <color theme="0" tint="-0.24994659260841701"/>
      </top>
      <bottom/>
      <diagonal/>
    </border>
    <border>
      <left/>
      <right/>
      <top style="thin">
        <color theme="0" tint="-0.24994659260841701"/>
      </top>
      <bottom/>
      <diagonal/>
    </border>
    <border>
      <left/>
      <right style="thin">
        <color indexed="64"/>
      </right>
      <top style="thin">
        <color theme="0" tint="-0.24994659260841701"/>
      </top>
      <bottom/>
      <diagonal/>
    </border>
    <border>
      <left style="thin">
        <color theme="0" tint="-0.24994659260841701"/>
      </left>
      <right style="thin">
        <color theme="0" tint="-0.24994659260841701"/>
      </right>
      <top style="thin">
        <color rgb="FFCCB480"/>
      </top>
      <bottom/>
      <diagonal/>
    </border>
    <border>
      <left style="thin">
        <color theme="0" tint="-0.24994659260841701"/>
      </left>
      <right style="thin">
        <color rgb="FF603500"/>
      </right>
      <top style="thin">
        <color rgb="FFCCB480"/>
      </top>
      <bottom style="thin">
        <color rgb="FF603500"/>
      </bottom>
      <diagonal/>
    </border>
    <border>
      <left style="thin">
        <color rgb="FF603500"/>
      </left>
      <right style="thin">
        <color theme="0" tint="-0.24994659260841701"/>
      </right>
      <top style="thin">
        <color rgb="FFCCB480"/>
      </top>
      <bottom style="thin">
        <color rgb="FF603500"/>
      </bottom>
      <diagonal/>
    </border>
    <border>
      <left style="thin">
        <color rgb="FF603500"/>
      </left>
      <right style="thin">
        <color indexed="64"/>
      </right>
      <top style="thin">
        <color rgb="FF603500"/>
      </top>
      <bottom style="thin">
        <color rgb="FFCCB480"/>
      </bottom>
      <diagonal/>
    </border>
    <border>
      <left style="thin">
        <color rgb="FF603500"/>
      </left>
      <right style="thin">
        <color indexed="64"/>
      </right>
      <top style="thin">
        <color rgb="FFCCB480"/>
      </top>
      <bottom style="thin">
        <color rgb="FFCCB480"/>
      </bottom>
      <diagonal/>
    </border>
    <border>
      <left style="thin">
        <color rgb="FF603500"/>
      </left>
      <right style="thin">
        <color indexed="64"/>
      </right>
      <top style="thin">
        <color rgb="FFCCB480"/>
      </top>
      <bottom style="thin">
        <color indexed="64"/>
      </bottom>
      <diagonal/>
    </border>
    <border>
      <left style="thin">
        <color rgb="FF603500"/>
      </left>
      <right/>
      <top style="thin">
        <color rgb="FFCCB480"/>
      </top>
      <bottom style="thin">
        <color indexed="64"/>
      </bottom>
      <diagonal/>
    </border>
    <border>
      <left style="thin">
        <color rgb="FF603500"/>
      </left>
      <right/>
      <top/>
      <bottom style="thin">
        <color rgb="FF603500"/>
      </bottom>
      <diagonal/>
    </border>
    <border>
      <left/>
      <right style="thin">
        <color rgb="FF603500"/>
      </right>
      <top/>
      <bottom style="thin">
        <color indexed="64"/>
      </bottom>
      <diagonal/>
    </border>
    <border>
      <left style="thin">
        <color rgb="FF603500"/>
      </left>
      <right style="thin">
        <color rgb="FF603500"/>
      </right>
      <top style="thin">
        <color rgb="FF603500"/>
      </top>
      <bottom style="thin">
        <color theme="0" tint="-0.24994659260841701"/>
      </bottom>
      <diagonal/>
    </border>
    <border>
      <left style="thin">
        <color rgb="FF603500"/>
      </left>
      <right style="thin">
        <color rgb="FF603500"/>
      </right>
      <top style="thin">
        <color theme="0" tint="-0.24994659260841701"/>
      </top>
      <bottom style="thin">
        <color theme="0" tint="-0.24994659260841701"/>
      </bottom>
      <diagonal/>
    </border>
    <border>
      <left style="thin">
        <color rgb="FF603500"/>
      </left>
      <right style="thin">
        <color rgb="FF603500"/>
      </right>
      <top style="thin">
        <color theme="0" tint="-0.24994659260841701"/>
      </top>
      <bottom style="thin">
        <color indexed="64"/>
      </bottom>
      <diagonal/>
    </border>
    <border>
      <left style="thin">
        <color rgb="FF603500"/>
      </left>
      <right style="thin">
        <color rgb="FF603500"/>
      </right>
      <top style="thin">
        <color theme="0" tint="-0.24994659260841701"/>
      </top>
      <bottom style="thin">
        <color rgb="FF60350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bottom style="thin">
        <color theme="0" tint="-0.24994659260841701"/>
      </bottom>
      <diagonal/>
    </border>
    <border>
      <left/>
      <right style="thin">
        <color theme="0" tint="-0.24994659260841701"/>
      </right>
      <top style="thin">
        <color theme="0" tint="-0.24994659260841701"/>
      </top>
      <bottom/>
      <diagonal/>
    </border>
    <border>
      <left style="thin">
        <color theme="0" tint="-0.24994659260841701"/>
      </left>
      <right/>
      <top style="thin">
        <color theme="0" tint="-0.24994659260841701"/>
      </top>
      <bottom/>
      <diagonal/>
    </border>
    <border>
      <left style="thin">
        <color theme="0" tint="-0.24994659260841701"/>
      </left>
      <right style="thin">
        <color theme="0" tint="-0.24994659260841701"/>
      </right>
      <top style="thin">
        <color theme="0" tint="-0.24994659260841701"/>
      </top>
      <bottom/>
      <diagonal/>
    </border>
    <border>
      <left style="thin">
        <color rgb="FFE6D2B3"/>
      </left>
      <right style="thin">
        <color rgb="FFE6D2B3"/>
      </right>
      <top style="thin">
        <color rgb="FFE6D2B3"/>
      </top>
      <bottom style="thin">
        <color rgb="FFE6D2B3"/>
      </bottom>
      <diagonal/>
    </border>
  </borders>
  <cellStyleXfs count="1">
    <xf numFmtId="0" fontId="0" fillId="0" borderId="0"/>
  </cellStyleXfs>
  <cellXfs count="319">
    <xf numFmtId="0" fontId="0" fillId="0" borderId="0" xfId="0"/>
    <xf numFmtId="0" fontId="0" fillId="0" borderId="0" xfId="0" applyAlignment="1">
      <alignment vertical="center"/>
    </xf>
    <xf numFmtId="0" fontId="5" fillId="4" borderId="39" xfId="0" applyFont="1" applyFill="1" applyBorder="1" applyAlignment="1">
      <alignment horizontal="center" vertical="center"/>
    </xf>
    <xf numFmtId="0" fontId="0" fillId="4" borderId="35" xfId="0" applyFill="1" applyBorder="1" applyAlignment="1">
      <alignment horizontal="center" vertical="center" wrapText="1"/>
    </xf>
    <xf numFmtId="0" fontId="0" fillId="4" borderId="35" xfId="0" applyFill="1" applyBorder="1" applyAlignment="1">
      <alignment horizontal="center" vertical="center"/>
    </xf>
    <xf numFmtId="0" fontId="0" fillId="4" borderId="35" xfId="0" applyFill="1" applyBorder="1" applyAlignment="1">
      <alignment vertical="center" wrapText="1"/>
    </xf>
    <xf numFmtId="0" fontId="5" fillId="4" borderId="35" xfId="0" applyFont="1" applyFill="1" applyBorder="1" applyAlignment="1">
      <alignment horizontal="center" vertical="center"/>
    </xf>
    <xf numFmtId="0" fontId="5" fillId="4" borderId="40" xfId="0" applyFont="1" applyFill="1" applyBorder="1" applyAlignment="1">
      <alignment horizontal="center" vertical="center"/>
    </xf>
    <xf numFmtId="0" fontId="0" fillId="4" borderId="24" xfId="0" quotePrefix="1" applyFill="1" applyBorder="1" applyAlignment="1">
      <alignment vertical="center" wrapText="1"/>
    </xf>
    <xf numFmtId="0" fontId="5" fillId="3" borderId="39" xfId="0" applyFont="1" applyFill="1" applyBorder="1" applyAlignment="1">
      <alignment horizontal="center" vertical="center"/>
    </xf>
    <xf numFmtId="0" fontId="5" fillId="3" borderId="35" xfId="0" applyFont="1" applyFill="1" applyBorder="1" applyAlignment="1">
      <alignment horizontal="center" vertical="center"/>
    </xf>
    <xf numFmtId="0" fontId="5" fillId="3" borderId="40" xfId="0" applyFont="1" applyFill="1" applyBorder="1" applyAlignment="1">
      <alignment horizontal="center" vertical="center"/>
    </xf>
    <xf numFmtId="0" fontId="0" fillId="3" borderId="24" xfId="0" applyFill="1" applyBorder="1" applyAlignment="1">
      <alignment vertical="center" wrapText="1"/>
    </xf>
    <xf numFmtId="0" fontId="5" fillId="6" borderId="36" xfId="0" applyFont="1" applyFill="1" applyBorder="1" applyAlignment="1">
      <alignment horizontal="center" vertical="center"/>
    </xf>
    <xf numFmtId="0" fontId="5" fillId="6" borderId="37" xfId="0" applyFont="1" applyFill="1" applyBorder="1" applyAlignment="1">
      <alignment horizontal="center" vertical="center"/>
    </xf>
    <xf numFmtId="0" fontId="5" fillId="6" borderId="38" xfId="0" applyFont="1" applyFill="1" applyBorder="1" applyAlignment="1">
      <alignment horizontal="center" vertical="center"/>
    </xf>
    <xf numFmtId="0" fontId="5" fillId="6" borderId="14" xfId="0" applyFont="1" applyFill="1" applyBorder="1" applyAlignment="1">
      <alignment horizontal="center" vertical="center"/>
    </xf>
    <xf numFmtId="0" fontId="5" fillId="6" borderId="11" xfId="0" applyFont="1" applyFill="1" applyBorder="1" applyAlignment="1">
      <alignment horizontal="center" vertical="center"/>
    </xf>
    <xf numFmtId="0" fontId="5" fillId="6" borderId="8" xfId="0" applyFont="1" applyFill="1" applyBorder="1" applyAlignment="1">
      <alignment horizontal="center" vertical="center"/>
    </xf>
    <xf numFmtId="0" fontId="5" fillId="3" borderId="42" xfId="0" applyFont="1" applyFill="1" applyBorder="1" applyAlignment="1">
      <alignment horizontal="center" vertical="center"/>
    </xf>
    <xf numFmtId="0" fontId="0" fillId="3" borderId="43" xfId="0" applyFill="1" applyBorder="1" applyAlignment="1">
      <alignment horizontal="center" vertical="center"/>
    </xf>
    <xf numFmtId="0" fontId="5" fillId="3" borderId="43" xfId="0" applyFont="1" applyFill="1" applyBorder="1" applyAlignment="1">
      <alignment horizontal="center" vertical="center"/>
    </xf>
    <xf numFmtId="0" fontId="5" fillId="3" borderId="44" xfId="0" applyFont="1" applyFill="1" applyBorder="1" applyAlignment="1">
      <alignment horizontal="center" vertical="center"/>
    </xf>
    <xf numFmtId="0" fontId="0" fillId="3" borderId="41" xfId="0" applyFill="1" applyBorder="1" applyAlignment="1">
      <alignment vertical="center" wrapText="1"/>
    </xf>
    <xf numFmtId="0" fontId="5" fillId="4" borderId="46" xfId="0" applyFont="1" applyFill="1" applyBorder="1" applyAlignment="1">
      <alignment horizontal="center" vertical="center"/>
    </xf>
    <xf numFmtId="0" fontId="0" fillId="4" borderId="47" xfId="0" applyFill="1" applyBorder="1" applyAlignment="1">
      <alignment horizontal="center" vertical="center"/>
    </xf>
    <xf numFmtId="0" fontId="5" fillId="4" borderId="47" xfId="0" applyFont="1" applyFill="1" applyBorder="1" applyAlignment="1">
      <alignment horizontal="center" vertical="center"/>
    </xf>
    <xf numFmtId="0" fontId="5" fillId="4" borderId="48" xfId="0" applyFont="1" applyFill="1" applyBorder="1" applyAlignment="1">
      <alignment horizontal="center" vertical="center"/>
    </xf>
    <xf numFmtId="0" fontId="0" fillId="4" borderId="45" xfId="0" applyFill="1" applyBorder="1" applyAlignment="1">
      <alignment vertical="center" wrapText="1"/>
    </xf>
    <xf numFmtId="0" fontId="5" fillId="3" borderId="46" xfId="0" applyFont="1" applyFill="1" applyBorder="1" applyAlignment="1">
      <alignment horizontal="center" vertical="center"/>
    </xf>
    <xf numFmtId="0" fontId="0" fillId="3" borderId="47" xfId="0" applyFill="1" applyBorder="1" applyAlignment="1">
      <alignment horizontal="center" vertical="center"/>
    </xf>
    <xf numFmtId="0" fontId="5" fillId="3" borderId="47" xfId="0" applyFont="1" applyFill="1" applyBorder="1" applyAlignment="1">
      <alignment horizontal="center" vertical="center"/>
    </xf>
    <xf numFmtId="0" fontId="5" fillId="3" borderId="48" xfId="0" applyFont="1" applyFill="1" applyBorder="1" applyAlignment="1">
      <alignment horizontal="center" vertical="center"/>
    </xf>
    <xf numFmtId="0" fontId="0" fillId="3" borderId="45" xfId="0" applyFill="1" applyBorder="1" applyAlignment="1">
      <alignment vertical="center" wrapText="1"/>
    </xf>
    <xf numFmtId="0" fontId="0" fillId="4" borderId="47" xfId="0" quotePrefix="1" applyFill="1" applyBorder="1" applyAlignment="1">
      <alignment horizontal="center" vertical="center"/>
    </xf>
    <xf numFmtId="0" fontId="0" fillId="3" borderId="43" xfId="0" applyFill="1" applyBorder="1" applyAlignment="1">
      <alignment horizontal="center" vertical="center" wrapText="1"/>
    </xf>
    <xf numFmtId="0" fontId="0" fillId="3" borderId="43" xfId="0" applyFill="1" applyBorder="1" applyAlignment="1">
      <alignment vertical="center" wrapText="1"/>
    </xf>
    <xf numFmtId="0" fontId="0" fillId="4" borderId="47" xfId="0" applyFill="1" applyBorder="1" applyAlignment="1">
      <alignment horizontal="center" vertical="center" wrapText="1"/>
    </xf>
    <xf numFmtId="0" fontId="0" fillId="4" borderId="47" xfId="0" applyFill="1" applyBorder="1" applyAlignment="1">
      <alignment vertical="center" wrapText="1"/>
    </xf>
    <xf numFmtId="0" fontId="0" fillId="3" borderId="47" xfId="0" applyFill="1" applyBorder="1" applyAlignment="1">
      <alignment horizontal="center" vertical="center" wrapText="1"/>
    </xf>
    <xf numFmtId="0" fontId="0" fillId="3" borderId="47" xfId="0" applyFill="1" applyBorder="1" applyAlignment="1">
      <alignment vertical="center" wrapText="1"/>
    </xf>
    <xf numFmtId="0" fontId="0" fillId="3" borderId="45" xfId="0" quotePrefix="1" applyFill="1" applyBorder="1" applyAlignment="1">
      <alignment vertical="center" wrapText="1"/>
    </xf>
    <xf numFmtId="0" fontId="0" fillId="4" borderId="45" xfId="0" quotePrefix="1" applyFill="1" applyBorder="1" applyAlignment="1">
      <alignment vertical="center" wrapText="1"/>
    </xf>
    <xf numFmtId="0" fontId="0" fillId="4" borderId="47" xfId="0" quotePrefix="1" applyFill="1" applyBorder="1" applyAlignment="1">
      <alignment horizontal="center" vertical="center" wrapText="1"/>
    </xf>
    <xf numFmtId="0" fontId="0" fillId="3" borderId="47" xfId="0" quotePrefix="1" applyFill="1" applyBorder="1" applyAlignment="1">
      <alignment horizontal="center" vertical="center" wrapText="1"/>
    </xf>
    <xf numFmtId="0" fontId="0" fillId="3" borderId="47" xfId="0" quotePrefix="1" applyFill="1" applyBorder="1" applyAlignment="1">
      <alignment horizontal="center" vertical="center"/>
    </xf>
    <xf numFmtId="0" fontId="2" fillId="2" borderId="62" xfId="0" applyFont="1" applyFill="1" applyBorder="1" applyAlignment="1">
      <alignment horizontal="center" vertical="center" wrapText="1"/>
    </xf>
    <xf numFmtId="0" fontId="2" fillId="2" borderId="63" xfId="0" applyFont="1" applyFill="1" applyBorder="1" applyAlignment="1">
      <alignment horizontal="center" vertical="center" wrapText="1"/>
    </xf>
    <xf numFmtId="0" fontId="2" fillId="2" borderId="64" xfId="0" applyFont="1" applyFill="1" applyBorder="1" applyAlignment="1">
      <alignment horizontal="center" vertical="center" wrapText="1"/>
    </xf>
    <xf numFmtId="0" fontId="5" fillId="3" borderId="65" xfId="0" applyFont="1" applyFill="1" applyBorder="1" applyAlignment="1">
      <alignment horizontal="center" vertical="center"/>
    </xf>
    <xf numFmtId="0" fontId="5" fillId="3" borderId="66" xfId="0" applyFont="1" applyFill="1" applyBorder="1" applyAlignment="1">
      <alignment horizontal="center" vertical="center"/>
    </xf>
    <xf numFmtId="0" fontId="5" fillId="3" borderId="67" xfId="0" applyFont="1" applyFill="1" applyBorder="1" applyAlignment="1">
      <alignment horizontal="center" vertical="center"/>
    </xf>
    <xf numFmtId="0" fontId="0" fillId="3" borderId="68" xfId="0" applyFill="1" applyBorder="1" applyAlignment="1">
      <alignment vertical="center" wrapText="1"/>
    </xf>
    <xf numFmtId="0" fontId="2" fillId="2" borderId="69" xfId="0" applyFont="1" applyFill="1" applyBorder="1" applyAlignment="1">
      <alignment horizontal="center" vertical="center" wrapText="1"/>
    </xf>
    <xf numFmtId="0" fontId="2" fillId="2" borderId="70" xfId="0" applyFont="1" applyFill="1" applyBorder="1" applyAlignment="1">
      <alignment horizontal="center" vertical="center" wrapText="1"/>
    </xf>
    <xf numFmtId="0" fontId="2" fillId="2" borderId="71" xfId="0" applyFont="1" applyFill="1" applyBorder="1" applyAlignment="1">
      <alignment horizontal="center" vertical="center" wrapText="1"/>
    </xf>
    <xf numFmtId="0" fontId="7" fillId="3" borderId="66" xfId="0" applyFont="1" applyFill="1" applyBorder="1" applyAlignment="1">
      <alignment horizontal="center" vertical="center"/>
    </xf>
    <xf numFmtId="0" fontId="7" fillId="4" borderId="47" xfId="0" applyFont="1" applyFill="1" applyBorder="1" applyAlignment="1">
      <alignment horizontal="center" vertical="center"/>
    </xf>
    <xf numFmtId="0" fontId="7" fillId="3" borderId="47" xfId="0" applyFont="1" applyFill="1" applyBorder="1" applyAlignment="1">
      <alignment horizontal="center" vertical="center"/>
    </xf>
    <xf numFmtId="0" fontId="7" fillId="4" borderId="47" xfId="0" quotePrefix="1" applyFont="1" applyFill="1" applyBorder="1" applyAlignment="1">
      <alignment horizontal="center" vertical="center"/>
    </xf>
    <xf numFmtId="0" fontId="7" fillId="3" borderId="35" xfId="0" applyFont="1" applyFill="1" applyBorder="1" applyAlignment="1">
      <alignment horizontal="center" vertical="center"/>
    </xf>
    <xf numFmtId="0" fontId="7" fillId="3" borderId="66" xfId="0" applyFont="1" applyFill="1" applyBorder="1" applyAlignment="1">
      <alignment horizontal="left" vertical="center" wrapText="1"/>
    </xf>
    <xf numFmtId="0" fontId="7" fillId="4" borderId="47" xfId="0" applyFont="1" applyFill="1" applyBorder="1" applyAlignment="1">
      <alignment horizontal="left" vertical="center" wrapText="1"/>
    </xf>
    <xf numFmtId="0" fontId="7" fillId="3" borderId="47" xfId="0" applyFont="1" applyFill="1" applyBorder="1" applyAlignment="1">
      <alignment horizontal="left" vertical="center" wrapText="1"/>
    </xf>
    <xf numFmtId="0" fontId="7" fillId="3" borderId="35" xfId="0" applyFont="1" applyFill="1" applyBorder="1" applyAlignment="1">
      <alignment horizontal="left" vertical="center" wrapText="1"/>
    </xf>
    <xf numFmtId="0" fontId="0" fillId="8" borderId="28" xfId="0" applyFill="1" applyBorder="1" applyAlignment="1">
      <alignment vertical="center"/>
    </xf>
    <xf numFmtId="0" fontId="0" fillId="8" borderId="33" xfId="0" applyFill="1" applyBorder="1" applyAlignment="1">
      <alignment vertical="center"/>
    </xf>
    <xf numFmtId="0" fontId="0" fillId="2" borderId="29" xfId="0" applyFill="1" applyBorder="1"/>
    <xf numFmtId="0" fontId="0" fillId="2" borderId="30" xfId="0" applyFill="1" applyBorder="1"/>
    <xf numFmtId="0" fontId="0" fillId="2" borderId="31" xfId="0" applyFill="1" applyBorder="1"/>
    <xf numFmtId="0" fontId="5" fillId="3" borderId="113" xfId="0" applyFont="1" applyFill="1" applyBorder="1" applyAlignment="1">
      <alignment horizontal="center" vertical="center"/>
    </xf>
    <xf numFmtId="0" fontId="0" fillId="3" borderId="43" xfId="0" applyFill="1" applyBorder="1" applyAlignment="1">
      <alignment horizontal="left" vertical="center" wrapText="1"/>
    </xf>
    <xf numFmtId="0" fontId="0" fillId="4" borderId="47" xfId="0" applyFill="1" applyBorder="1" applyAlignment="1">
      <alignment horizontal="left" vertical="center" wrapText="1"/>
    </xf>
    <xf numFmtId="0" fontId="0" fillId="3" borderId="47" xfId="0" applyFill="1" applyBorder="1" applyAlignment="1">
      <alignment horizontal="left" vertical="center" wrapText="1"/>
    </xf>
    <xf numFmtId="0" fontId="0" fillId="4" borderId="47" xfId="0" quotePrefix="1" applyFill="1" applyBorder="1" applyAlignment="1">
      <alignment horizontal="left" vertical="center" wrapText="1"/>
    </xf>
    <xf numFmtId="0" fontId="0" fillId="3" borderId="111" xfId="0" applyFill="1" applyBorder="1" applyAlignment="1">
      <alignment horizontal="left" vertical="center" wrapText="1"/>
    </xf>
    <xf numFmtId="0" fontId="0" fillId="3" borderId="44" xfId="0" applyFill="1" applyBorder="1" applyAlignment="1">
      <alignment horizontal="center" vertical="center"/>
    </xf>
    <xf numFmtId="0" fontId="0" fillId="4" borderId="48" xfId="0" applyFill="1" applyBorder="1" applyAlignment="1">
      <alignment horizontal="center" vertical="center"/>
    </xf>
    <xf numFmtId="0" fontId="0" fillId="3" borderId="48" xfId="0" applyFill="1" applyBorder="1" applyAlignment="1">
      <alignment horizontal="center" vertical="center"/>
    </xf>
    <xf numFmtId="0" fontId="0" fillId="3" borderId="112" xfId="0" applyFill="1" applyBorder="1" applyAlignment="1">
      <alignment horizontal="center" vertical="center"/>
    </xf>
    <xf numFmtId="0" fontId="0" fillId="5" borderId="30" xfId="0" applyFill="1" applyBorder="1"/>
    <xf numFmtId="0" fontId="24" fillId="4" borderId="47" xfId="0" applyFont="1" applyFill="1" applyBorder="1" applyAlignment="1">
      <alignment vertical="center" wrapText="1"/>
    </xf>
    <xf numFmtId="0" fontId="24" fillId="3" borderId="47" xfId="0" applyFont="1" applyFill="1" applyBorder="1" applyAlignment="1">
      <alignment vertical="center" wrapText="1"/>
    </xf>
    <xf numFmtId="0" fontId="11" fillId="3" borderId="47" xfId="0" applyFont="1" applyFill="1" applyBorder="1" applyAlignment="1">
      <alignment vertical="center" wrapText="1"/>
    </xf>
    <xf numFmtId="0" fontId="11" fillId="4" borderId="47" xfId="0" applyFont="1" applyFill="1" applyBorder="1" applyAlignment="1">
      <alignment vertical="center" wrapText="1"/>
    </xf>
    <xf numFmtId="0" fontId="11" fillId="3" borderId="43" xfId="0" applyFont="1" applyFill="1" applyBorder="1" applyAlignment="1">
      <alignment vertical="center" wrapText="1"/>
    </xf>
    <xf numFmtId="0" fontId="11" fillId="3" borderId="111" xfId="0" applyFont="1" applyFill="1" applyBorder="1" applyAlignment="1">
      <alignment vertical="center" wrapText="1"/>
    </xf>
    <xf numFmtId="0" fontId="0" fillId="3" borderId="111" xfId="0" applyFill="1" applyBorder="1" applyAlignment="1">
      <alignment horizontal="center" vertical="center" wrapText="1"/>
    </xf>
    <xf numFmtId="0" fontId="0" fillId="5" borderId="31" xfId="0" applyFill="1" applyBorder="1"/>
    <xf numFmtId="0" fontId="32" fillId="5" borderId="11" xfId="0" applyFont="1" applyFill="1" applyBorder="1" applyAlignment="1">
      <alignment horizontal="center" vertical="center"/>
    </xf>
    <xf numFmtId="0" fontId="32" fillId="5" borderId="11" xfId="0" applyFont="1" applyFill="1" applyBorder="1" applyAlignment="1">
      <alignment horizontal="center" vertical="center" wrapText="1"/>
    </xf>
    <xf numFmtId="0" fontId="0" fillId="3" borderId="120" xfId="0" applyFill="1" applyBorder="1" applyAlignment="1">
      <alignment horizontal="center" vertical="center"/>
    </xf>
    <xf numFmtId="0" fontId="0" fillId="3" borderId="121" xfId="0" applyFill="1" applyBorder="1" applyAlignment="1">
      <alignment horizontal="center" vertical="center"/>
    </xf>
    <xf numFmtId="0" fontId="0" fillId="3" borderId="122" xfId="0" applyFill="1" applyBorder="1" applyAlignment="1">
      <alignment horizontal="center" vertical="center"/>
    </xf>
    <xf numFmtId="0" fontId="0" fillId="3" borderId="123" xfId="0" applyFill="1" applyBorder="1" applyAlignment="1">
      <alignment horizontal="center" vertical="center"/>
    </xf>
    <xf numFmtId="0" fontId="0" fillId="0" borderId="0" xfId="0"/>
    <xf numFmtId="0" fontId="11" fillId="4" borderId="81" xfId="0" applyFont="1" applyFill="1" applyBorder="1" applyAlignment="1">
      <alignment horizontal="left" vertical="center" wrapText="1"/>
    </xf>
    <xf numFmtId="0" fontId="11" fillId="0" borderId="82" xfId="0" applyFont="1" applyBorder="1" applyAlignment="1">
      <alignment wrapText="1"/>
    </xf>
    <xf numFmtId="0" fontId="11" fillId="0" borderId="86" xfId="0" applyFont="1" applyBorder="1" applyAlignment="1">
      <alignment wrapText="1"/>
    </xf>
    <xf numFmtId="0" fontId="0" fillId="2" borderId="29" xfId="0" applyFill="1" applyBorder="1"/>
    <xf numFmtId="0" fontId="0" fillId="2" borderId="30" xfId="0" applyFill="1" applyBorder="1"/>
    <xf numFmtId="0" fontId="0" fillId="2" borderId="31" xfId="0" applyFill="1" applyBorder="1"/>
    <xf numFmtId="0" fontId="0" fillId="9" borderId="30" xfId="0" applyFill="1" applyBorder="1"/>
    <xf numFmtId="0" fontId="0" fillId="9" borderId="21" xfId="0" applyFill="1" applyBorder="1"/>
    <xf numFmtId="0" fontId="4" fillId="2" borderId="90" xfId="0" applyFont="1" applyFill="1" applyBorder="1" applyAlignment="1">
      <alignment horizontal="center" vertical="center" wrapText="1"/>
    </xf>
    <xf numFmtId="0" fontId="4" fillId="2" borderId="0" xfId="0" applyFont="1" applyFill="1" applyAlignment="1">
      <alignment horizontal="center" vertical="center" wrapText="1"/>
    </xf>
    <xf numFmtId="0" fontId="17" fillId="0" borderId="0" xfId="0" applyFont="1" applyAlignment="1">
      <alignment wrapText="1"/>
    </xf>
    <xf numFmtId="0" fontId="8" fillId="5" borderId="29" xfId="0" applyFont="1" applyFill="1" applyBorder="1" applyAlignment="1">
      <alignment vertical="center" wrapText="1"/>
    </xf>
    <xf numFmtId="0" fontId="8" fillId="5" borderId="30" xfId="0" applyFont="1" applyFill="1" applyBorder="1" applyAlignment="1">
      <alignment vertical="center" wrapText="1"/>
    </xf>
    <xf numFmtId="0" fontId="7" fillId="5" borderId="30" xfId="0" applyFont="1" applyFill="1" applyBorder="1" applyAlignment="1">
      <alignment wrapText="1"/>
    </xf>
    <xf numFmtId="0" fontId="7" fillId="5" borderId="31" xfId="0" applyFont="1" applyFill="1" applyBorder="1" applyAlignment="1">
      <alignment wrapText="1"/>
    </xf>
    <xf numFmtId="0" fontId="6" fillId="4" borderId="89" xfId="0" applyFont="1" applyFill="1" applyBorder="1" applyAlignment="1">
      <alignment horizontal="left" vertical="center" wrapText="1"/>
    </xf>
    <xf numFmtId="0" fontId="6" fillId="0" borderId="82" xfId="0" applyFont="1" applyBorder="1" applyAlignment="1">
      <alignment wrapText="1"/>
    </xf>
    <xf numFmtId="0" fontId="6" fillId="0" borderId="83" xfId="0" applyFont="1" applyBorder="1" applyAlignment="1">
      <alignment wrapText="1"/>
    </xf>
    <xf numFmtId="0" fontId="11" fillId="0" borderId="83" xfId="0" applyFont="1" applyBorder="1" applyAlignment="1">
      <alignment wrapText="1"/>
    </xf>
    <xf numFmtId="0" fontId="0" fillId="9" borderId="20" xfId="0" applyFill="1" applyBorder="1"/>
    <xf numFmtId="0" fontId="0" fillId="3" borderId="57" xfId="0" applyFill="1" applyBorder="1" applyAlignment="1">
      <alignment horizontal="left" vertical="center" wrapText="1"/>
    </xf>
    <xf numFmtId="0" fontId="0" fillId="0" borderId="58" xfId="0" applyBorder="1" applyAlignment="1">
      <alignment wrapText="1"/>
    </xf>
    <xf numFmtId="0" fontId="0" fillId="0" borderId="78" xfId="0" applyBorder="1" applyAlignment="1">
      <alignment wrapText="1"/>
    </xf>
    <xf numFmtId="0" fontId="0" fillId="4" borderId="57" xfId="0" applyFill="1" applyBorder="1" applyAlignment="1">
      <alignment horizontal="left" vertical="center" wrapText="1"/>
    </xf>
    <xf numFmtId="0" fontId="0" fillId="4" borderId="81" xfId="0" applyFill="1" applyBorder="1" applyAlignment="1">
      <alignment horizontal="left" vertical="center" wrapText="1"/>
    </xf>
    <xf numFmtId="0" fontId="0" fillId="0" borderId="82" xfId="0" applyBorder="1" applyAlignment="1">
      <alignment wrapText="1"/>
    </xf>
    <xf numFmtId="0" fontId="0" fillId="0" borderId="83" xfId="0" applyBorder="1" applyAlignment="1">
      <alignment wrapText="1"/>
    </xf>
    <xf numFmtId="0" fontId="15" fillId="5" borderId="11" xfId="0" applyFont="1" applyFill="1" applyBorder="1" applyAlignment="1">
      <alignment horizontal="center" vertical="center" wrapText="1"/>
    </xf>
    <xf numFmtId="0" fontId="5" fillId="5" borderId="11" xfId="0" applyFont="1" applyFill="1" applyBorder="1" applyAlignment="1">
      <alignment wrapText="1"/>
    </xf>
    <xf numFmtId="0" fontId="11" fillId="3" borderId="75" xfId="0" applyFont="1" applyFill="1" applyBorder="1" applyAlignment="1">
      <alignment horizontal="left" vertical="center" wrapText="1"/>
    </xf>
    <xf numFmtId="0" fontId="11" fillId="0" borderId="76" xfId="0" applyFont="1" applyBorder="1" applyAlignment="1">
      <alignment wrapText="1"/>
    </xf>
    <xf numFmtId="0" fontId="11" fillId="0" borderId="84" xfId="0" applyFont="1" applyBorder="1" applyAlignment="1">
      <alignment wrapText="1"/>
    </xf>
    <xf numFmtId="0" fontId="11" fillId="4" borderId="57" xfId="0" applyFont="1" applyFill="1" applyBorder="1" applyAlignment="1">
      <alignment horizontal="left" vertical="center" wrapText="1"/>
    </xf>
    <xf numFmtId="0" fontId="11" fillId="0" borderId="58" xfId="0" applyFont="1" applyBorder="1" applyAlignment="1">
      <alignment wrapText="1"/>
    </xf>
    <xf numFmtId="0" fontId="11" fillId="0" borderId="85" xfId="0" applyFont="1" applyBorder="1" applyAlignment="1">
      <alignment wrapText="1"/>
    </xf>
    <xf numFmtId="0" fontId="0" fillId="3" borderId="75" xfId="0" applyFill="1" applyBorder="1" applyAlignment="1">
      <alignment horizontal="left" vertical="center" wrapText="1"/>
    </xf>
    <xf numFmtId="0" fontId="0" fillId="0" borderId="76" xfId="0" applyBorder="1" applyAlignment="1">
      <alignment wrapText="1"/>
    </xf>
    <xf numFmtId="0" fontId="0" fillId="0" borderId="77" xfId="0" applyBorder="1" applyAlignment="1">
      <alignment wrapText="1"/>
    </xf>
    <xf numFmtId="0" fontId="8" fillId="3" borderId="87" xfId="0" applyFont="1" applyFill="1" applyBorder="1" applyAlignment="1">
      <alignment horizontal="left" vertical="center" wrapText="1"/>
    </xf>
    <xf numFmtId="0" fontId="8" fillId="0" borderId="76" xfId="0" applyFont="1" applyBorder="1" applyAlignment="1">
      <alignment wrapText="1"/>
    </xf>
    <xf numFmtId="0" fontId="8" fillId="0" borderId="77" xfId="0" applyFont="1" applyBorder="1" applyAlignment="1">
      <alignment wrapText="1"/>
    </xf>
    <xf numFmtId="0" fontId="8" fillId="4" borderId="88" xfId="0" applyFont="1" applyFill="1" applyBorder="1" applyAlignment="1">
      <alignment horizontal="left" vertical="center" wrapText="1"/>
    </xf>
    <xf numFmtId="0" fontId="8" fillId="0" borderId="58" xfId="0" applyFont="1" applyBorder="1" applyAlignment="1">
      <alignment wrapText="1"/>
    </xf>
    <xf numFmtId="0" fontId="8" fillId="0" borderId="78" xfId="0" applyFont="1" applyBorder="1" applyAlignment="1">
      <alignment wrapText="1"/>
    </xf>
    <xf numFmtId="0" fontId="8" fillId="4" borderId="89" xfId="0" applyFont="1" applyFill="1" applyBorder="1" applyAlignment="1">
      <alignment horizontal="left" vertical="center" wrapText="1"/>
    </xf>
    <xf numFmtId="0" fontId="8" fillId="0" borderId="82" xfId="0" applyFont="1" applyBorder="1" applyAlignment="1">
      <alignment wrapText="1"/>
    </xf>
    <xf numFmtId="0" fontId="8" fillId="0" borderId="83" xfId="0" applyFont="1" applyBorder="1" applyAlignment="1">
      <alignment wrapText="1"/>
    </xf>
    <xf numFmtId="0" fontId="8" fillId="3" borderId="88" xfId="0" applyFont="1" applyFill="1" applyBorder="1" applyAlignment="1">
      <alignment horizontal="left" vertical="center" wrapText="1"/>
    </xf>
    <xf numFmtId="0" fontId="11" fillId="3" borderId="57" xfId="0" applyFont="1" applyFill="1" applyBorder="1" applyAlignment="1">
      <alignment horizontal="left" vertical="center" wrapText="1"/>
    </xf>
    <xf numFmtId="0" fontId="0" fillId="2" borderId="73" xfId="0" applyFill="1" applyBorder="1"/>
    <xf numFmtId="0" fontId="0" fillId="2" borderId="34" xfId="0" applyFill="1" applyBorder="1"/>
    <xf numFmtId="0" fontId="0" fillId="2" borderId="74" xfId="0" applyFill="1" applyBorder="1"/>
    <xf numFmtId="0" fontId="13" fillId="2" borderId="72" xfId="0" applyFont="1" applyFill="1" applyBorder="1" applyAlignment="1">
      <alignment horizontal="center" vertical="center" wrapText="1"/>
    </xf>
    <xf numFmtId="0" fontId="16" fillId="0" borderId="0" xfId="0" applyFont="1" applyAlignment="1">
      <alignment horizontal="center" vertical="center" wrapText="1"/>
    </xf>
    <xf numFmtId="0" fontId="10" fillId="7" borderId="29" xfId="0" applyFont="1" applyFill="1" applyBorder="1" applyAlignment="1">
      <alignment horizontal="center" vertical="center" wrapText="1"/>
    </xf>
    <xf numFmtId="0" fontId="36" fillId="7" borderId="30" xfId="0" applyFont="1" applyFill="1" applyBorder="1" applyAlignment="1">
      <alignment horizontal="center" vertical="center" wrapText="1"/>
    </xf>
    <xf numFmtId="0" fontId="36" fillId="7" borderId="31" xfId="0" applyFont="1" applyFill="1" applyBorder="1" applyAlignment="1">
      <alignment horizontal="center" vertical="center" wrapText="1"/>
    </xf>
    <xf numFmtId="0" fontId="0" fillId="0" borderId="85" xfId="0" applyBorder="1" applyAlignment="1">
      <alignment wrapText="1"/>
    </xf>
    <xf numFmtId="0" fontId="0" fillId="3" borderId="79" xfId="0" applyFill="1" applyBorder="1" applyAlignment="1">
      <alignment horizontal="left" vertical="center" wrapText="1"/>
    </xf>
    <xf numFmtId="0" fontId="0" fillId="0" borderId="80" xfId="0" applyBorder="1" applyAlignment="1">
      <alignment wrapText="1"/>
    </xf>
    <xf numFmtId="0" fontId="0" fillId="0" borderId="91" xfId="0" applyBorder="1" applyAlignment="1">
      <alignment wrapText="1"/>
    </xf>
    <xf numFmtId="0" fontId="8" fillId="3" borderId="106" xfId="0" applyFont="1" applyFill="1" applyBorder="1" applyAlignment="1">
      <alignment horizontal="left" vertical="center" wrapText="1"/>
    </xf>
    <xf numFmtId="0" fontId="8" fillId="0" borderId="55" xfId="0" applyFont="1" applyBorder="1" applyAlignment="1">
      <alignment wrapText="1"/>
    </xf>
    <xf numFmtId="0" fontId="8" fillId="0" borderId="107" xfId="0" applyFont="1" applyBorder="1" applyAlignment="1">
      <alignment wrapText="1"/>
    </xf>
    <xf numFmtId="0" fontId="0" fillId="0" borderId="84" xfId="0" applyBorder="1" applyAlignment="1">
      <alignment wrapText="1"/>
    </xf>
    <xf numFmtId="0" fontId="13" fillId="2" borderId="29" xfId="0" applyFont="1" applyFill="1" applyBorder="1" applyAlignment="1">
      <alignment horizontal="center" vertical="center" wrapText="1"/>
    </xf>
    <xf numFmtId="0" fontId="16" fillId="0" borderId="30" xfId="0" applyFont="1" applyBorder="1" applyAlignment="1">
      <alignment horizontal="center" vertical="center" wrapText="1"/>
    </xf>
    <xf numFmtId="0" fontId="16" fillId="0" borderId="31" xfId="0" applyFont="1" applyBorder="1" applyAlignment="1">
      <alignment horizontal="center" vertical="center" wrapText="1"/>
    </xf>
    <xf numFmtId="0" fontId="30" fillId="2" borderId="1" xfId="0" applyFont="1" applyFill="1" applyBorder="1" applyAlignment="1">
      <alignment horizontal="center" vertical="center" wrapText="1"/>
    </xf>
    <xf numFmtId="0" fontId="30" fillId="2" borderId="2" xfId="0" applyFont="1" applyFill="1" applyBorder="1" applyAlignment="1">
      <alignment horizontal="center" vertical="center" wrapText="1"/>
    </xf>
    <xf numFmtId="0" fontId="30" fillId="2" borderId="3" xfId="0" applyFont="1" applyFill="1" applyBorder="1" applyAlignment="1">
      <alignment horizontal="center" vertical="center" wrapText="1"/>
    </xf>
    <xf numFmtId="0" fontId="3" fillId="5" borderId="9" xfId="0" applyFont="1" applyFill="1" applyBorder="1" applyAlignment="1">
      <alignment horizontal="center" vertical="center" wrapText="1"/>
    </xf>
    <xf numFmtId="0" fontId="3" fillId="5" borderId="0" xfId="0" applyFont="1" applyFill="1" applyAlignment="1">
      <alignment horizontal="center" vertical="center" wrapText="1"/>
    </xf>
    <xf numFmtId="0" fontId="3" fillId="5" borderId="10" xfId="0" applyFont="1" applyFill="1" applyBorder="1" applyAlignment="1">
      <alignment horizontal="center" vertical="center" wrapText="1"/>
    </xf>
    <xf numFmtId="0" fontId="2" fillId="2" borderId="12" xfId="0" applyFont="1" applyFill="1" applyBorder="1" applyAlignment="1">
      <alignment horizontal="center" vertical="center"/>
    </xf>
    <xf numFmtId="0" fontId="2" fillId="2" borderId="13" xfId="0" applyFont="1" applyFill="1" applyBorder="1" applyAlignment="1">
      <alignment horizontal="center" vertical="center"/>
    </xf>
    <xf numFmtId="0" fontId="4" fillId="2" borderId="108" xfId="0" applyFont="1" applyFill="1" applyBorder="1" applyAlignment="1">
      <alignment horizontal="center" vertical="center" wrapText="1"/>
    </xf>
    <xf numFmtId="0" fontId="0" fillId="0" borderId="109" xfId="0" applyBorder="1" applyAlignment="1">
      <alignment horizontal="center" vertical="center" wrapText="1"/>
    </xf>
    <xf numFmtId="0" fontId="0" fillId="0" borderId="110" xfId="0" applyBorder="1" applyAlignment="1">
      <alignment horizontal="center" vertical="center" wrapText="1"/>
    </xf>
    <xf numFmtId="0" fontId="33" fillId="5" borderId="72" xfId="0" applyFont="1" applyFill="1" applyBorder="1" applyAlignment="1">
      <alignment horizontal="center" vertical="center" wrapText="1"/>
    </xf>
    <xf numFmtId="0" fontId="35" fillId="0" borderId="0" xfId="0" applyFont="1" applyAlignment="1">
      <alignment horizontal="center" vertical="center" wrapText="1"/>
    </xf>
    <xf numFmtId="0" fontId="35" fillId="0" borderId="28" xfId="0" applyFont="1" applyBorder="1" applyAlignment="1">
      <alignment horizontal="center" vertical="center" wrapText="1"/>
    </xf>
    <xf numFmtId="0" fontId="30" fillId="2" borderId="25" xfId="0" applyFont="1" applyFill="1" applyBorder="1" applyAlignment="1">
      <alignment horizontal="center" vertical="center" wrapText="1"/>
    </xf>
    <xf numFmtId="0" fontId="30" fillId="2" borderId="17" xfId="0" applyFont="1" applyFill="1" applyBorder="1" applyAlignment="1">
      <alignment horizontal="center" vertical="center" wrapText="1"/>
    </xf>
    <xf numFmtId="0" fontId="30" fillId="2" borderId="26" xfId="0" applyFont="1" applyFill="1" applyBorder="1" applyAlignment="1">
      <alignment horizontal="center" vertical="center" wrapText="1"/>
    </xf>
    <xf numFmtId="0" fontId="3" fillId="5" borderId="18" xfId="0" applyFont="1" applyFill="1" applyBorder="1" applyAlignment="1">
      <alignment horizontal="center" vertical="center" wrapText="1"/>
    </xf>
    <xf numFmtId="0" fontId="3" fillId="5" borderId="7" xfId="0" applyFont="1" applyFill="1" applyBorder="1" applyAlignment="1">
      <alignment horizontal="center" vertical="center" wrapText="1"/>
    </xf>
    <xf numFmtId="0" fontId="3" fillId="5" borderId="19" xfId="0" applyFont="1" applyFill="1" applyBorder="1" applyAlignment="1">
      <alignment horizontal="center" vertical="center" wrapText="1"/>
    </xf>
    <xf numFmtId="0" fontId="2" fillId="2" borderId="27" xfId="0" applyFont="1" applyFill="1" applyBorder="1" applyAlignment="1">
      <alignment horizontal="center" vertical="center"/>
    </xf>
    <xf numFmtId="0" fontId="2" fillId="2" borderId="15" xfId="0" applyFont="1" applyFill="1" applyBorder="1" applyAlignment="1">
      <alignment horizontal="center" vertical="center"/>
    </xf>
    <xf numFmtId="0" fontId="2" fillId="2" borderId="16" xfId="0" applyFont="1" applyFill="1" applyBorder="1" applyAlignment="1">
      <alignment horizontal="center" vertical="center"/>
    </xf>
    <xf numFmtId="0" fontId="1" fillId="5" borderId="29" xfId="0" applyFont="1" applyFill="1" applyBorder="1" applyAlignment="1">
      <alignment horizontal="center" vertical="center"/>
    </xf>
    <xf numFmtId="0" fontId="1" fillId="0" borderId="30" xfId="0" applyFont="1" applyBorder="1" applyAlignment="1">
      <alignment horizontal="center" vertical="center"/>
    </xf>
    <xf numFmtId="0" fontId="1" fillId="0" borderId="31" xfId="0" applyFont="1" applyBorder="1" applyAlignment="1">
      <alignment horizontal="center" vertical="center"/>
    </xf>
    <xf numFmtId="0" fontId="6" fillId="4" borderId="116" xfId="0" applyFont="1" applyFill="1" applyBorder="1" applyAlignment="1">
      <alignment horizontal="left" vertical="center"/>
    </xf>
    <xf numFmtId="0" fontId="6" fillId="4" borderId="53" xfId="0" applyFont="1" applyFill="1" applyBorder="1" applyAlignment="1">
      <alignment horizontal="left" vertical="center"/>
    </xf>
    <xf numFmtId="0" fontId="6" fillId="4" borderId="53" xfId="0" applyFont="1" applyFill="1" applyBorder="1" applyAlignment="1">
      <alignment vertical="center"/>
    </xf>
    <xf numFmtId="0" fontId="6" fillId="4" borderId="54" xfId="0" applyFont="1" applyFill="1" applyBorder="1" applyAlignment="1">
      <alignment vertical="center"/>
    </xf>
    <xf numFmtId="0" fontId="0" fillId="2" borderId="5" xfId="0" applyFill="1" applyBorder="1"/>
    <xf numFmtId="0" fontId="0" fillId="2" borderId="0" xfId="0" applyFill="1"/>
    <xf numFmtId="0" fontId="13" fillId="2" borderId="4"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6" xfId="0" applyFont="1" applyFill="1" applyBorder="1" applyAlignment="1">
      <alignment horizontal="center" vertical="center" wrapText="1"/>
    </xf>
    <xf numFmtId="0" fontId="1" fillId="4" borderId="29" xfId="0" applyFont="1" applyFill="1" applyBorder="1" applyAlignment="1">
      <alignment horizontal="center" vertical="center" wrapText="1"/>
    </xf>
    <xf numFmtId="0" fontId="1" fillId="4" borderId="30" xfId="0" applyFont="1" applyFill="1" applyBorder="1" applyAlignment="1">
      <alignment horizontal="center" vertical="center" wrapText="1"/>
    </xf>
    <xf numFmtId="0" fontId="1" fillId="4" borderId="31" xfId="0" applyFont="1" applyFill="1" applyBorder="1" applyAlignment="1">
      <alignment horizontal="center" vertical="center" wrapText="1"/>
    </xf>
    <xf numFmtId="0" fontId="0" fillId="8" borderId="0" xfId="0" applyFill="1" applyAlignment="1">
      <alignment vertical="center"/>
    </xf>
    <xf numFmtId="0" fontId="0" fillId="8" borderId="32" xfId="0" applyFill="1" applyBorder="1" applyAlignment="1">
      <alignment vertical="center"/>
    </xf>
    <xf numFmtId="0" fontId="6" fillId="4" borderId="114" xfId="0" applyFont="1" applyFill="1" applyBorder="1" applyAlignment="1">
      <alignment horizontal="left" vertical="center"/>
    </xf>
    <xf numFmtId="0" fontId="6" fillId="4" borderId="49" xfId="0" applyFont="1" applyFill="1" applyBorder="1" applyAlignment="1">
      <alignment horizontal="left" vertical="center"/>
    </xf>
    <xf numFmtId="0" fontId="6" fillId="4" borderId="49" xfId="0" applyFont="1" applyFill="1" applyBorder="1" applyAlignment="1">
      <alignment vertical="center"/>
    </xf>
    <xf numFmtId="0" fontId="6" fillId="4" borderId="50" xfId="0" applyFont="1" applyFill="1" applyBorder="1" applyAlignment="1">
      <alignment vertical="center"/>
    </xf>
    <xf numFmtId="0" fontId="6" fillId="4" borderId="115" xfId="0" applyFont="1" applyFill="1" applyBorder="1" applyAlignment="1">
      <alignment horizontal="left" vertical="center"/>
    </xf>
    <xf numFmtId="0" fontId="6" fillId="4" borderId="51" xfId="0" applyFont="1" applyFill="1" applyBorder="1" applyAlignment="1">
      <alignment horizontal="left" vertical="center"/>
    </xf>
    <xf numFmtId="0" fontId="6" fillId="4" borderId="51" xfId="0" applyFont="1" applyFill="1" applyBorder="1" applyAlignment="1">
      <alignment vertical="center"/>
    </xf>
    <xf numFmtId="0" fontId="6" fillId="4" borderId="52" xfId="0" applyFont="1" applyFill="1" applyBorder="1" applyAlignment="1">
      <alignment vertical="center"/>
    </xf>
    <xf numFmtId="0" fontId="6" fillId="4" borderId="117" xfId="0" applyFont="1" applyFill="1" applyBorder="1" applyAlignment="1">
      <alignment horizontal="left" vertical="center"/>
    </xf>
    <xf numFmtId="0" fontId="6" fillId="4" borderId="60" xfId="0" applyFont="1" applyFill="1" applyBorder="1" applyAlignment="1">
      <alignment horizontal="left" vertical="center"/>
    </xf>
    <xf numFmtId="0" fontId="6" fillId="4" borderId="61" xfId="0" applyFont="1" applyFill="1" applyBorder="1" applyAlignment="1">
      <alignment horizontal="left" vertical="center"/>
    </xf>
    <xf numFmtId="0" fontId="0" fillId="8" borderId="21" xfId="0" applyFill="1" applyBorder="1" applyAlignment="1">
      <alignment vertical="center"/>
    </xf>
    <xf numFmtId="0" fontId="0" fillId="8" borderId="23" xfId="0" applyFill="1" applyBorder="1"/>
    <xf numFmtId="0" fontId="0" fillId="0" borderId="21" xfId="0" applyBorder="1"/>
    <xf numFmtId="0" fontId="0" fillId="0" borderId="22" xfId="0" applyBorder="1"/>
    <xf numFmtId="0" fontId="0" fillId="0" borderId="20" xfId="0" applyBorder="1"/>
    <xf numFmtId="0" fontId="0" fillId="0" borderId="32" xfId="0" applyBorder="1"/>
    <xf numFmtId="0" fontId="0" fillId="0" borderId="119" xfId="0" applyBorder="1"/>
    <xf numFmtId="0" fontId="0" fillId="5" borderId="29" xfId="0" applyFill="1" applyBorder="1"/>
    <xf numFmtId="0" fontId="0" fillId="5" borderId="30" xfId="0" applyFill="1" applyBorder="1"/>
    <xf numFmtId="0" fontId="0" fillId="5" borderId="21" xfId="0" applyFill="1" applyBorder="1"/>
    <xf numFmtId="0" fontId="0" fillId="5" borderId="22" xfId="0" applyFill="1" applyBorder="1"/>
    <xf numFmtId="0" fontId="6" fillId="4" borderId="106" xfId="0" applyFont="1" applyFill="1" applyBorder="1" applyAlignment="1">
      <alignment horizontal="left" vertical="center"/>
    </xf>
    <xf numFmtId="0" fontId="6" fillId="4" borderId="55" xfId="0" applyFont="1" applyFill="1" applyBorder="1" applyAlignment="1">
      <alignment horizontal="left" vertical="center"/>
    </xf>
    <xf numFmtId="0" fontId="6" fillId="4" borderId="56" xfId="0" applyFont="1" applyFill="1" applyBorder="1" applyAlignment="1">
      <alignment horizontal="left" vertical="center"/>
    </xf>
    <xf numFmtId="0" fontId="6" fillId="4" borderId="88" xfId="0" applyFont="1" applyFill="1" applyBorder="1" applyAlignment="1">
      <alignment horizontal="left" vertical="center"/>
    </xf>
    <xf numFmtId="0" fontId="6" fillId="4" borderId="58" xfId="0" applyFont="1" applyFill="1" applyBorder="1" applyAlignment="1">
      <alignment horizontal="left" vertical="center"/>
    </xf>
    <xf numFmtId="0" fontId="6" fillId="4" borderId="59" xfId="0" applyFont="1" applyFill="1" applyBorder="1" applyAlignment="1">
      <alignment horizontal="left" vertical="center"/>
    </xf>
    <xf numFmtId="0" fontId="28" fillId="11" borderId="94" xfId="0" applyFont="1" applyFill="1" applyBorder="1" applyAlignment="1">
      <alignment horizontal="center" vertical="center"/>
    </xf>
    <xf numFmtId="0" fontId="28" fillId="11" borderId="95" xfId="0" applyFont="1" applyFill="1" applyBorder="1" applyAlignment="1">
      <alignment horizontal="center" vertical="center"/>
    </xf>
    <xf numFmtId="0" fontId="28" fillId="11" borderId="96" xfId="0" applyFont="1" applyFill="1" applyBorder="1" applyAlignment="1">
      <alignment horizontal="center" vertical="center"/>
    </xf>
    <xf numFmtId="0" fontId="21" fillId="16" borderId="29" xfId="0" applyFont="1" applyFill="1" applyBorder="1" applyAlignment="1">
      <alignment horizontal="left" vertical="center"/>
    </xf>
    <xf numFmtId="0" fontId="21" fillId="16" borderId="99" xfId="0" applyFont="1" applyFill="1" applyBorder="1" applyAlignment="1">
      <alignment horizontal="left" vertical="center"/>
    </xf>
    <xf numFmtId="0" fontId="21" fillId="16" borderId="100" xfId="0" applyFont="1" applyFill="1" applyBorder="1" applyAlignment="1">
      <alignment horizontal="left" vertical="center"/>
    </xf>
    <xf numFmtId="0" fontId="20" fillId="10" borderId="87" xfId="0" applyFont="1" applyFill="1" applyBorder="1" applyAlignment="1">
      <alignment horizontal="left" vertical="center" wrapText="1"/>
    </xf>
    <xf numFmtId="0" fontId="20" fillId="10" borderId="97" xfId="0" applyFont="1" applyFill="1" applyBorder="1" applyAlignment="1">
      <alignment horizontal="left" vertical="center" wrapText="1"/>
    </xf>
    <xf numFmtId="0" fontId="19" fillId="10" borderId="97" xfId="0" applyFont="1" applyFill="1" applyBorder="1" applyAlignment="1">
      <alignment horizontal="left" vertical="center" wrapText="1"/>
    </xf>
    <xf numFmtId="0" fontId="19" fillId="10" borderId="98" xfId="0" applyFont="1" applyFill="1" applyBorder="1" applyAlignment="1">
      <alignment horizontal="left" vertical="center" wrapText="1"/>
    </xf>
    <xf numFmtId="0" fontId="20" fillId="12" borderId="88" xfId="0" applyFont="1" applyFill="1" applyBorder="1" applyAlignment="1">
      <alignment horizontal="left" vertical="center" wrapText="1"/>
    </xf>
    <xf numFmtId="0" fontId="20" fillId="12" borderId="92" xfId="0" applyFont="1" applyFill="1" applyBorder="1" applyAlignment="1">
      <alignment horizontal="left" vertical="center" wrapText="1"/>
    </xf>
    <xf numFmtId="0" fontId="19" fillId="12" borderId="92" xfId="0" applyFont="1" applyFill="1" applyBorder="1" applyAlignment="1">
      <alignment horizontal="left" vertical="center" wrapText="1"/>
    </xf>
    <xf numFmtId="0" fontId="19" fillId="12" borderId="93" xfId="0" applyFont="1" applyFill="1" applyBorder="1" applyAlignment="1">
      <alignment horizontal="left" vertical="center" wrapText="1"/>
    </xf>
    <xf numFmtId="0" fontId="20" fillId="10" borderId="103" xfId="0" applyFont="1" applyFill="1" applyBorder="1" applyAlignment="1">
      <alignment horizontal="left" vertical="center" wrapText="1"/>
    </xf>
    <xf numFmtId="0" fontId="20" fillId="10" borderId="104" xfId="0" applyFont="1" applyFill="1" applyBorder="1" applyAlignment="1">
      <alignment horizontal="left" vertical="center" wrapText="1"/>
    </xf>
    <xf numFmtId="0" fontId="19" fillId="10" borderId="104" xfId="0" applyFont="1" applyFill="1" applyBorder="1" applyAlignment="1">
      <alignment horizontal="left" vertical="center" wrapText="1"/>
    </xf>
    <xf numFmtId="0" fontId="19" fillId="10" borderId="105" xfId="0" applyFont="1" applyFill="1" applyBorder="1" applyAlignment="1">
      <alignment horizontal="left" vertical="center" wrapText="1"/>
    </xf>
    <xf numFmtId="0" fontId="21" fillId="15" borderId="29" xfId="0" applyFont="1" applyFill="1" applyBorder="1" applyAlignment="1">
      <alignment horizontal="left" vertical="center"/>
    </xf>
    <xf numFmtId="0" fontId="21" fillId="15" borderId="99" xfId="0" applyFont="1" applyFill="1" applyBorder="1" applyAlignment="1">
      <alignment horizontal="left" vertical="center"/>
    </xf>
    <xf numFmtId="0" fontId="21" fillId="15" borderId="100" xfId="0" applyFont="1" applyFill="1" applyBorder="1" applyAlignment="1">
      <alignment horizontal="left" vertical="center"/>
    </xf>
    <xf numFmtId="0" fontId="20" fillId="13" borderId="87" xfId="0" applyFont="1" applyFill="1" applyBorder="1" applyAlignment="1">
      <alignment horizontal="left" vertical="center" wrapText="1"/>
    </xf>
    <xf numFmtId="0" fontId="20" fillId="13" borderId="97" xfId="0" applyFont="1" applyFill="1" applyBorder="1" applyAlignment="1">
      <alignment horizontal="left" vertical="center" wrapText="1"/>
    </xf>
    <xf numFmtId="0" fontId="19" fillId="13" borderId="97" xfId="0" applyFont="1" applyFill="1" applyBorder="1" applyAlignment="1">
      <alignment horizontal="left" vertical="center" wrapText="1"/>
    </xf>
    <xf numFmtId="0" fontId="19" fillId="13" borderId="98" xfId="0" applyFont="1" applyFill="1" applyBorder="1" applyAlignment="1">
      <alignment horizontal="left" vertical="center" wrapText="1"/>
    </xf>
    <xf numFmtId="0" fontId="20" fillId="20" borderId="89" xfId="0" applyFont="1" applyFill="1" applyBorder="1" applyAlignment="1">
      <alignment horizontal="left" vertical="center" wrapText="1"/>
    </xf>
    <xf numFmtId="0" fontId="20" fillId="20" borderId="101" xfId="0" applyFont="1" applyFill="1" applyBorder="1" applyAlignment="1">
      <alignment horizontal="left" vertical="center" wrapText="1"/>
    </xf>
    <xf numFmtId="0" fontId="19" fillId="20" borderId="101" xfId="0" applyFont="1" applyFill="1" applyBorder="1" applyAlignment="1">
      <alignment horizontal="left" vertical="center" wrapText="1"/>
    </xf>
    <xf numFmtId="0" fontId="19" fillId="20" borderId="102" xfId="0" applyFont="1" applyFill="1" applyBorder="1" applyAlignment="1">
      <alignment horizontal="left" vertical="center" wrapText="1"/>
    </xf>
    <xf numFmtId="0" fontId="0" fillId="4" borderId="118" xfId="0" applyFill="1" applyBorder="1"/>
    <xf numFmtId="0" fontId="0" fillId="4" borderId="23" xfId="0" applyFill="1" applyBorder="1"/>
    <xf numFmtId="0" fontId="0" fillId="4" borderId="24" xfId="0" applyFill="1" applyBorder="1"/>
    <xf numFmtId="0" fontId="22" fillId="7" borderId="29" xfId="0" applyFont="1" applyFill="1" applyBorder="1" applyAlignment="1">
      <alignment horizontal="center" vertical="center"/>
    </xf>
    <xf numFmtId="0" fontId="0" fillId="7" borderId="30" xfId="0" applyFill="1" applyBorder="1" applyAlignment="1">
      <alignment horizontal="center" vertical="center"/>
    </xf>
    <xf numFmtId="0" fontId="0" fillId="7" borderId="31" xfId="0" applyFill="1" applyBorder="1" applyAlignment="1">
      <alignment horizontal="center" vertical="center"/>
    </xf>
    <xf numFmtId="0" fontId="20" fillId="18" borderId="87" xfId="0" applyFont="1" applyFill="1" applyBorder="1" applyAlignment="1">
      <alignment horizontal="left" vertical="center" wrapText="1"/>
    </xf>
    <xf numFmtId="0" fontId="20" fillId="18" borderId="97" xfId="0" applyFont="1" applyFill="1" applyBorder="1" applyAlignment="1">
      <alignment horizontal="left" vertical="center" wrapText="1"/>
    </xf>
    <xf numFmtId="0" fontId="19" fillId="18" borderId="97" xfId="0" applyFont="1" applyFill="1" applyBorder="1" applyAlignment="1">
      <alignment horizontal="left" vertical="center" wrapText="1"/>
    </xf>
    <xf numFmtId="0" fontId="19" fillId="18" borderId="98" xfId="0" applyFont="1" applyFill="1" applyBorder="1" applyAlignment="1">
      <alignment horizontal="left" vertical="center" wrapText="1"/>
    </xf>
    <xf numFmtId="0" fontId="20" fillId="19" borderId="88" xfId="0" applyFont="1" applyFill="1" applyBorder="1" applyAlignment="1">
      <alignment horizontal="left" vertical="center" wrapText="1"/>
    </xf>
    <xf numFmtId="0" fontId="20" fillId="19" borderId="92" xfId="0" applyFont="1" applyFill="1" applyBorder="1" applyAlignment="1">
      <alignment horizontal="left" vertical="center" wrapText="1"/>
    </xf>
    <xf numFmtId="0" fontId="19" fillId="19" borderId="92" xfId="0" applyFont="1" applyFill="1" applyBorder="1" applyAlignment="1">
      <alignment horizontal="left" vertical="center" wrapText="1"/>
    </xf>
    <xf numFmtId="0" fontId="19" fillId="19" borderId="93" xfId="0" applyFont="1" applyFill="1" applyBorder="1" applyAlignment="1">
      <alignment horizontal="left" vertical="center" wrapText="1"/>
    </xf>
    <xf numFmtId="0" fontId="20" fillId="14" borderId="88" xfId="0" applyFont="1" applyFill="1" applyBorder="1" applyAlignment="1">
      <alignment horizontal="left" vertical="center" wrapText="1"/>
    </xf>
    <xf numFmtId="0" fontId="20" fillId="14" borderId="92" xfId="0" applyFont="1" applyFill="1" applyBorder="1" applyAlignment="1">
      <alignment horizontal="left" vertical="center" wrapText="1"/>
    </xf>
    <xf numFmtId="0" fontId="19" fillId="14" borderId="92" xfId="0" applyFont="1" applyFill="1" applyBorder="1" applyAlignment="1">
      <alignment horizontal="left" vertical="center" wrapText="1"/>
    </xf>
    <xf numFmtId="0" fontId="19" fillId="14" borderId="93" xfId="0" applyFont="1" applyFill="1" applyBorder="1" applyAlignment="1">
      <alignment horizontal="left" vertical="center" wrapText="1"/>
    </xf>
    <xf numFmtId="0" fontId="20" fillId="13" borderId="103" xfId="0" applyFont="1" applyFill="1" applyBorder="1" applyAlignment="1">
      <alignment horizontal="left" vertical="center" wrapText="1"/>
    </xf>
    <xf numFmtId="0" fontId="20" fillId="13" borderId="104" xfId="0" applyFont="1" applyFill="1" applyBorder="1" applyAlignment="1">
      <alignment horizontal="left" vertical="center" wrapText="1"/>
    </xf>
    <xf numFmtId="0" fontId="19" fillId="13" borderId="104" xfId="0" applyFont="1" applyFill="1" applyBorder="1" applyAlignment="1">
      <alignment horizontal="left" vertical="center" wrapText="1"/>
    </xf>
    <xf numFmtId="0" fontId="19" fillId="13" borderId="105" xfId="0" applyFont="1" applyFill="1" applyBorder="1" applyAlignment="1">
      <alignment horizontal="left" vertical="center" wrapText="1"/>
    </xf>
    <xf numFmtId="0" fontId="21" fillId="17" borderId="29" xfId="0" applyFont="1" applyFill="1" applyBorder="1" applyAlignment="1">
      <alignment horizontal="left" vertical="center"/>
    </xf>
    <xf numFmtId="0" fontId="21" fillId="17" borderId="99" xfId="0" applyFont="1" applyFill="1" applyBorder="1" applyAlignment="1">
      <alignment horizontal="left" vertical="center"/>
    </xf>
    <xf numFmtId="0" fontId="21" fillId="17" borderId="100" xfId="0" applyFont="1" applyFill="1" applyBorder="1" applyAlignment="1">
      <alignment horizontal="left" vertical="center"/>
    </xf>
    <xf numFmtId="0" fontId="0" fillId="0" borderId="124" xfId="0" applyBorder="1"/>
    <xf numFmtId="0" fontId="0" fillId="6" borderId="124" xfId="0" applyFill="1" applyBorder="1"/>
    <xf numFmtId="0" fontId="0" fillId="6" borderId="124" xfId="0" applyFont="1" applyFill="1" applyBorder="1"/>
    <xf numFmtId="0" fontId="0" fillId="0" borderId="124" xfId="0" applyFont="1" applyBorder="1"/>
    <xf numFmtId="0" fontId="0" fillId="6" borderId="125" xfId="0" applyFont="1" applyFill="1" applyBorder="1"/>
    <xf numFmtId="0" fontId="0" fillId="0" borderId="125" xfId="0" applyFont="1" applyBorder="1"/>
    <xf numFmtId="0" fontId="32" fillId="6" borderId="126" xfId="0" applyFont="1" applyFill="1" applyBorder="1"/>
    <xf numFmtId="0" fontId="32" fillId="0" borderId="126" xfId="0" applyFont="1" applyBorder="1"/>
    <xf numFmtId="0" fontId="0" fillId="6" borderId="128" xfId="0" applyFont="1" applyFill="1" applyBorder="1"/>
    <xf numFmtId="0" fontId="32" fillId="6" borderId="129" xfId="0" applyFont="1" applyFill="1" applyBorder="1"/>
    <xf numFmtId="0" fontId="0" fillId="0" borderId="129" xfId="0" applyBorder="1"/>
    <xf numFmtId="0" fontId="38" fillId="6" borderId="124" xfId="0" applyFont="1" applyFill="1" applyBorder="1"/>
    <xf numFmtId="0" fontId="38" fillId="0" borderId="124" xfId="0" applyFont="1" applyBorder="1"/>
    <xf numFmtId="0" fontId="0" fillId="6" borderId="126" xfId="0" applyFill="1" applyBorder="1"/>
    <xf numFmtId="0" fontId="0" fillId="0" borderId="126" xfId="0" applyBorder="1"/>
    <xf numFmtId="0" fontId="0" fillId="0" borderId="128" xfId="0" applyFont="1" applyBorder="1"/>
    <xf numFmtId="0" fontId="0" fillId="0" borderId="130" xfId="0" applyFont="1" applyBorder="1"/>
    <xf numFmtId="0" fontId="38" fillId="0" borderId="130" xfId="0" applyFont="1" applyBorder="1"/>
    <xf numFmtId="0" fontId="0" fillId="6" borderId="125" xfId="0" applyFill="1" applyBorder="1"/>
    <xf numFmtId="0" fontId="0" fillId="0" borderId="125" xfId="0" applyBorder="1"/>
    <xf numFmtId="0" fontId="0" fillId="6" borderId="128" xfId="0" applyFill="1" applyBorder="1"/>
    <xf numFmtId="0" fontId="0" fillId="6" borderId="130" xfId="0" applyFill="1" applyBorder="1"/>
    <xf numFmtId="0" fontId="0" fillId="6" borderId="127" xfId="0" applyFill="1" applyBorder="1"/>
    <xf numFmtId="0" fontId="0" fillId="6" borderId="15" xfId="0" applyFill="1" applyBorder="1"/>
    <xf numFmtId="0" fontId="32" fillId="6" borderId="16" xfId="0" applyFont="1" applyFill="1" applyBorder="1"/>
    <xf numFmtId="0" fontId="37" fillId="0" borderId="0" xfId="0" applyFont="1"/>
    <xf numFmtId="0" fontId="39" fillId="2" borderId="131" xfId="0" applyFont="1" applyFill="1" applyBorder="1"/>
    <xf numFmtId="0" fontId="39" fillId="2" borderId="131" xfId="0" applyFont="1" applyFill="1" applyBorder="1" applyAlignment="1">
      <alignment horizontal="center"/>
    </xf>
    <xf numFmtId="0" fontId="0" fillId="6" borderId="127" xfId="0" applyFont="1" applyFill="1" applyBorder="1"/>
    <xf numFmtId="0" fontId="40" fillId="2" borderId="131" xfId="0" applyFont="1" applyFill="1" applyBorder="1"/>
    <xf numFmtId="0" fontId="0" fillId="6" borderId="15" xfId="0" applyFont="1" applyFill="1" applyBorder="1"/>
    <xf numFmtId="0" fontId="38" fillId="6" borderId="15" xfId="0" applyFont="1" applyFill="1" applyBorder="1"/>
    <xf numFmtId="0" fontId="0" fillId="6" borderId="16" xfId="0" applyFill="1" applyBorder="1"/>
  </cellXfs>
  <cellStyles count="1">
    <cellStyle name="Normal" xfId="0" builtinId="0"/>
  </cellStyles>
  <dxfs count="20">
    <dxf>
      <font>
        <b/>
        <i val="0"/>
        <strike val="0"/>
        <condense val="0"/>
        <extend val="0"/>
        <outline val="0"/>
        <shadow val="0"/>
        <u val="none"/>
        <vertAlign val="baseline"/>
        <sz val="12"/>
        <color rgb="FFFAF5EE"/>
        <name val="Times New Roman"/>
        <family val="1"/>
        <scheme val="none"/>
      </font>
      <fill>
        <patternFill patternType="solid">
          <fgColor indexed="64"/>
          <bgColor rgb="FF603500"/>
        </patternFill>
      </fill>
      <border diagonalUp="0" diagonalDown="0">
        <left style="thin">
          <color rgb="FFE6D2B3"/>
        </left>
        <right style="thin">
          <color rgb="FFE6D2B3"/>
        </right>
        <top/>
        <bottom/>
        <vertical style="thin">
          <color rgb="FFE6D2B3"/>
        </vertical>
        <horizontal/>
      </border>
    </dxf>
    <dxf>
      <border>
        <bottom style="thin">
          <color rgb="FFE6D2B3"/>
        </bottom>
      </border>
    </dxf>
    <dxf>
      <font>
        <b/>
        <i val="0"/>
        <strike val="0"/>
        <condense val="0"/>
        <extend val="0"/>
        <outline val="0"/>
        <shadow val="0"/>
        <u val="none"/>
        <vertAlign val="baseline"/>
        <sz val="12"/>
        <color rgb="FFFAF5EE"/>
        <name val="Times New Roman"/>
        <family val="1"/>
        <scheme val="none"/>
      </font>
      <fill>
        <patternFill patternType="solid">
          <fgColor indexed="64"/>
          <bgColor rgb="FF603500"/>
        </patternFill>
      </fill>
      <border diagonalUp="0" diagonalDown="0">
        <left style="thin">
          <color rgb="FFE6D2B3"/>
        </left>
        <right style="thin">
          <color rgb="FFE6D2B3"/>
        </right>
        <top/>
        <bottom/>
        <vertical style="thin">
          <color rgb="FFE6D2B3"/>
        </vertical>
        <horizontal/>
      </border>
    </dxf>
    <dxf>
      <border>
        <bottom style="thin">
          <color rgb="FFE6D2B3"/>
        </bottom>
      </border>
    </dxf>
    <dxf>
      <font>
        <strike val="0"/>
        <outline val="0"/>
        <shadow val="0"/>
        <u val="none"/>
        <vertAlign val="baseline"/>
        <sz val="12"/>
        <color rgb="FFFAF5EE"/>
        <name val="Times New Roman"/>
        <family val="1"/>
        <scheme val="none"/>
      </font>
      <fill>
        <patternFill patternType="solid">
          <fgColor indexed="64"/>
          <bgColor rgb="FF603500"/>
        </patternFill>
      </fill>
      <border diagonalUp="0" diagonalDown="0" outline="0">
        <left style="thin">
          <color rgb="FFE6D2B3"/>
        </left>
        <right style="thin">
          <color rgb="FFE6D2B3"/>
        </right>
        <top/>
        <bottom/>
      </border>
    </dxf>
    <dxf>
      <border>
        <bottom style="thin">
          <color rgb="FFE6D2B3"/>
        </bottom>
      </border>
    </dxf>
    <dxf>
      <border diagonalUp="0" diagonalDown="0">
        <left style="thin">
          <color theme="0" tint="-0.24994659260841701"/>
        </left>
        <right/>
        <top style="thin">
          <color theme="0" tint="-0.24994659260841701"/>
        </top>
        <bottom style="thin">
          <color theme="0" tint="-0.24994659260841701"/>
        </bottom>
        <vertical style="thin">
          <color theme="0" tint="-0.24994659260841701"/>
        </vertical>
        <horizontal style="thin">
          <color theme="0" tint="-0.24994659260841701"/>
        </horizontal>
      </border>
    </dxf>
    <dxf>
      <border diagonalUp="0" diagonalDown="0">
        <left style="thin">
          <color theme="0" tint="-0.24994659260841701"/>
        </left>
        <right style="thin">
          <color theme="0" tint="-0.24994659260841701"/>
        </right>
        <top style="thin">
          <color theme="0" tint="-0.24994659260841701"/>
        </top>
        <bottom style="thin">
          <color theme="0" tint="-0.24994659260841701"/>
        </bottom>
        <vertical style="thin">
          <color theme="0" tint="-0.24994659260841701"/>
        </vertical>
        <horizontal style="thin">
          <color theme="0" tint="-0.24994659260841701"/>
        </horizontal>
      </border>
    </dxf>
    <dxf>
      <border diagonalUp="0" diagonalDown="0">
        <left style="thin">
          <color theme="0" tint="-0.24994659260841701"/>
        </left>
        <right style="thin">
          <color theme="0" tint="-0.24994659260841701"/>
        </right>
        <top style="thin">
          <color theme="0" tint="-0.24994659260841701"/>
        </top>
        <bottom style="thin">
          <color theme="0" tint="-0.24994659260841701"/>
        </bottom>
        <vertical style="thin">
          <color theme="0" tint="-0.24994659260841701"/>
        </vertical>
        <horizontal style="thin">
          <color theme="0" tint="-0.24994659260841701"/>
        </horizontal>
      </border>
    </dxf>
    <dxf>
      <border diagonalUp="0" diagonalDown="0">
        <left/>
        <right style="thin">
          <color theme="0" tint="-0.24994659260841701"/>
        </right>
        <top style="thin">
          <color theme="0" tint="-0.24994659260841701"/>
        </top>
        <bottom style="thin">
          <color theme="0" tint="-0.24994659260841701"/>
        </bottom>
        <vertical style="thin">
          <color theme="0" tint="-0.24994659260841701"/>
        </vertical>
        <horizontal style="thin">
          <color theme="0" tint="-0.24994659260841701"/>
        </horizontal>
      </border>
    </dxf>
    <dxf>
      <border>
        <top style="thin">
          <color theme="0" tint="-0.24994659260841701"/>
        </top>
      </border>
    </dxf>
    <dxf>
      <border diagonalUp="0" diagonalDown="0">
        <left style="thin">
          <color rgb="FF603500"/>
        </left>
        <right style="thin">
          <color rgb="FF603500"/>
        </right>
        <top style="thin">
          <color rgb="FF603500"/>
        </top>
        <bottom style="thin">
          <color rgb="FF603500"/>
        </bottom>
      </border>
    </dxf>
    <dxf>
      <font>
        <b val="0"/>
        <i val="0"/>
        <strike val="0"/>
        <condense val="0"/>
        <extend val="0"/>
        <outline val="0"/>
        <shadow val="0"/>
        <u val="none"/>
        <vertAlign val="baseline"/>
        <sz val="12"/>
        <color theme="1"/>
        <name val="Times New Roman"/>
        <family val="1"/>
        <scheme val="none"/>
      </font>
      <fill>
        <patternFill patternType="solid">
          <fgColor indexed="64"/>
          <bgColor rgb="FFE6D2B3"/>
        </patternFill>
      </fill>
      <border diagonalUp="0" diagonalDown="0">
        <left style="thin">
          <color theme="0" tint="-0.24994659260841701"/>
        </left>
        <right/>
        <top style="thin">
          <color theme="0" tint="-0.24994659260841701"/>
        </top>
        <bottom style="thin">
          <color theme="0" tint="-0.24994659260841701"/>
        </bottom>
        <vertical style="thin">
          <color theme="0" tint="-0.24994659260841701"/>
        </vertical>
        <horizontal style="thin">
          <color theme="0" tint="-0.24994659260841701"/>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E6D2B3"/>
        </patternFill>
      </fill>
      <border diagonalUp="0" diagonalDown="0">
        <left/>
        <right style="thin">
          <color theme="0" tint="-0.24994659260841701"/>
        </right>
        <top style="thin">
          <color theme="0" tint="-0.24994659260841701"/>
        </top>
        <bottom style="thin">
          <color theme="0" tint="-0.24994659260841701"/>
        </bottom>
        <vertical style="thin">
          <color theme="0" tint="-0.24994659260841701"/>
        </vertical>
        <horizontal style="thin">
          <color theme="0" tint="-0.24994659260841701"/>
        </horizontal>
      </border>
    </dxf>
    <dxf>
      <border>
        <top style="thin">
          <color theme="0" tint="-0.24994659260841701"/>
        </top>
      </border>
    </dxf>
    <dxf>
      <border diagonalUp="0" diagonalDown="0">
        <left style="thin">
          <color rgb="FF603500"/>
        </left>
        <right style="thin">
          <color rgb="FF603500"/>
        </right>
        <top style="thin">
          <color rgb="FF603500"/>
        </top>
        <bottom style="thin">
          <color rgb="FF603500"/>
        </bottom>
      </border>
    </dxf>
    <dxf>
      <font>
        <strike val="0"/>
        <outline val="0"/>
        <shadow val="0"/>
        <u val="none"/>
        <vertAlign val="baseline"/>
        <sz val="12"/>
        <color theme="1"/>
        <name val="Times New Roman"/>
        <family val="1"/>
        <scheme val="none"/>
      </font>
      <border diagonalUp="0" diagonalDown="0">
        <left style="thin">
          <color theme="0" tint="-0.24994659260841701"/>
        </left>
        <right/>
        <top style="thin">
          <color theme="0" tint="-0.24994659260841701"/>
        </top>
        <bottom style="thin">
          <color theme="0" tint="-0.24994659260841701"/>
        </bottom>
      </border>
    </dxf>
    <dxf>
      <border diagonalUp="0" diagonalDown="0">
        <left style="thin">
          <color theme="0" tint="-0.24994659260841701"/>
        </left>
        <right style="thin">
          <color theme="0" tint="-0.24994659260841701"/>
        </right>
        <top style="thin">
          <color theme="0" tint="-0.24994659260841701"/>
        </top>
        <bottom style="thin">
          <color theme="0" tint="-0.24994659260841701"/>
        </bottom>
      </border>
    </dxf>
    <dxf>
      <border diagonalUp="0" diagonalDown="0">
        <left/>
        <right style="thin">
          <color theme="0" tint="-0.24994659260841701"/>
        </right>
        <top style="thin">
          <color theme="0" tint="-0.24994659260841701"/>
        </top>
        <bottom style="thin">
          <color theme="0" tint="-0.24994659260841701"/>
        </bottom>
        <vertical style="thin">
          <color theme="0" tint="-0.24994659260841701"/>
        </vertical>
        <horizontal style="thin">
          <color theme="0" tint="-0.24994659260841701"/>
        </horizontal>
      </border>
    </dxf>
    <dxf>
      <border diagonalUp="0" diagonalDown="0">
        <left style="thin">
          <color rgb="FF603500"/>
        </left>
        <right style="thin">
          <color rgb="FF603500"/>
        </right>
        <top style="thin">
          <color rgb="FF603500"/>
        </top>
        <bottom style="thin">
          <color rgb="FF603500"/>
        </bottom>
      </border>
    </dxf>
  </dxfs>
  <tableStyles count="0" defaultTableStyle="TableStyleMedium2" defaultPivotStyle="PivotStyleLight16"/>
  <colors>
    <mruColors>
      <color rgb="FFE6D2B3"/>
      <color rgb="FFFAF5EE"/>
      <color rgb="FF603500"/>
      <color rgb="FFCCB480"/>
      <color rgb="FFECF3E9"/>
      <color rgb="FFF6FCF3"/>
      <color rgb="FFEFF5FC"/>
      <color rgb="FFFFF2EC"/>
      <color rgb="FFFFE6DA"/>
      <color rgb="FFEDF9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6002D30-E71E-114D-AE16-132D9EA0CE3C}" name="Qual_Scores" displayName="Qual_Scores" ref="A1:C16" totalsRowShown="0" headerRowDxfId="4" headerRowBorderDxfId="5" tableBorderDxfId="19">
  <autoFilter ref="A1:C16" xr:uid="{56002D30-E71E-114D-AE16-132D9EA0CE3C}"/>
  <tableColumns count="3">
    <tableColumn id="1" xr3:uid="{450A1C30-9706-D642-B5AD-C6491CC42A81}" name="Category" dataDxfId="18"/>
    <tableColumn id="2" xr3:uid="{BE9D925E-48C6-2340-91B4-4401246EA00A}" name="Content_Type" dataDxfId="17"/>
    <tableColumn id="3" xr3:uid="{38756EF9-154E-8641-B87F-743649481B0A}" name="Score" dataDxfId="16"/>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5226C8C-F826-4F47-B01A-D32CBAB1E6A0}" name="Quant_Scores" displayName="Quant_Scores" ref="A18:B23" totalsRowShown="0" headerRowDxfId="2" headerRowBorderDxfId="3" tableBorderDxfId="15" totalsRowBorderDxfId="14">
  <autoFilter ref="A18:B23" xr:uid="{05226C8C-F826-4F47-B01A-D32CBAB1E6A0}"/>
  <tableColumns count="2">
    <tableColumn id="1" xr3:uid="{6715490C-72EB-BC41-8759-AA00A5BEAD56}" name="Dimension" dataDxfId="13"/>
    <tableColumn id="2" xr3:uid="{34AEC8EF-0AAC-3C49-9DBD-484539E6EFA8}" name="Score" dataDxfId="12"/>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F342271-DD04-4C49-BAD6-CF1D86B64A9F}" name="Alignment_Scores" displayName="Alignment_Scores" ref="A25:D29" totalsRowShown="0" headerRowDxfId="0" headerRowBorderDxfId="1" tableBorderDxfId="11" totalsRowBorderDxfId="10">
  <autoFilter ref="A25:D29" xr:uid="{DF342271-DD04-4C49-BAD6-CF1D86B64A9F}"/>
  <tableColumns count="4">
    <tableColumn id="1" xr3:uid="{CB088A38-7E62-FA44-97BD-77325ED79EC2}" name="Dimension_Pair" dataDxfId="9"/>
    <tableColumn id="2" xr3:uid="{CA25DDBF-6658-7B4E-8F32-81072F362733}" name="Side" dataDxfId="8"/>
    <tableColumn id="3" xr3:uid="{E9DC4A13-E13D-E249-83A6-3D2A79C2E76D}" name="Category" dataDxfId="7"/>
    <tableColumn id="4" xr3:uid="{7B603B40-A091-534A-B742-2651C8CCA9A4}" name="Score" dataDxfId="6"/>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6.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9CE05-648F-494A-81D8-44525D08CF28}">
  <dimension ref="A1:J17"/>
  <sheetViews>
    <sheetView zoomScale="80" zoomScaleNormal="80" workbookViewId="0">
      <pane ySplit="3" topLeftCell="A4" activePane="bottomLeft" state="frozen"/>
      <selection pane="bottomLeft" activeCell="A2" sqref="A2:J2"/>
    </sheetView>
  </sheetViews>
  <sheetFormatPr baseColWidth="10" defaultRowHeight="16" x14ac:dyDescent="0.2"/>
  <cols>
    <col min="1" max="1" width="6.6640625" customWidth="1"/>
    <col min="2" max="2" width="19" customWidth="1"/>
    <col min="3" max="3" width="44.83203125" bestFit="1" customWidth="1"/>
    <col min="4" max="4" width="14.33203125" customWidth="1"/>
    <col min="5" max="5" width="17.33203125" customWidth="1"/>
    <col min="6" max="6" width="14.5" customWidth="1"/>
    <col min="7" max="7" width="13.5" customWidth="1"/>
    <col min="8" max="8" width="12.33203125" customWidth="1"/>
    <col min="9" max="9" width="9" customWidth="1"/>
    <col min="10" max="10" width="72.33203125" customWidth="1"/>
  </cols>
  <sheetData>
    <row r="1" spans="1:10" ht="46" customHeight="1" x14ac:dyDescent="0.2">
      <c r="A1" s="164" t="s">
        <v>14</v>
      </c>
      <c r="B1" s="165"/>
      <c r="C1" s="165"/>
      <c r="D1" s="165"/>
      <c r="E1" s="165"/>
      <c r="F1" s="165"/>
      <c r="G1" s="165"/>
      <c r="H1" s="165"/>
      <c r="I1" s="165"/>
      <c r="J1" s="166"/>
    </row>
    <row r="2" spans="1:10" ht="31" customHeight="1" x14ac:dyDescent="0.2">
      <c r="A2" s="167" t="s">
        <v>195</v>
      </c>
      <c r="B2" s="168"/>
      <c r="C2" s="168"/>
      <c r="D2" s="168"/>
      <c r="E2" s="168"/>
      <c r="F2" s="168"/>
      <c r="G2" s="168"/>
      <c r="H2" s="168"/>
      <c r="I2" s="168"/>
      <c r="J2" s="169"/>
    </row>
    <row r="3" spans="1:10" ht="48" customHeight="1" x14ac:dyDescent="0.2">
      <c r="A3" s="53" t="s">
        <v>10</v>
      </c>
      <c r="B3" s="54" t="s">
        <v>0</v>
      </c>
      <c r="C3" s="54" t="s">
        <v>11</v>
      </c>
      <c r="D3" s="54" t="s">
        <v>1</v>
      </c>
      <c r="E3" s="54" t="s">
        <v>12</v>
      </c>
      <c r="F3" s="54" t="s">
        <v>2</v>
      </c>
      <c r="G3" s="54" t="s">
        <v>3</v>
      </c>
      <c r="H3" s="54" t="s">
        <v>4</v>
      </c>
      <c r="I3" s="54" t="s">
        <v>50</v>
      </c>
      <c r="J3" s="55" t="s">
        <v>13</v>
      </c>
    </row>
    <row r="4" spans="1:10" ht="63" customHeight="1" x14ac:dyDescent="0.2">
      <c r="A4" s="49">
        <v>1</v>
      </c>
      <c r="B4" s="56" t="s">
        <v>15</v>
      </c>
      <c r="C4" s="61" t="s">
        <v>17</v>
      </c>
      <c r="D4" s="50">
        <v>1</v>
      </c>
      <c r="E4" s="50">
        <v>2</v>
      </c>
      <c r="F4" s="50">
        <v>1</v>
      </c>
      <c r="G4" s="50">
        <v>2</v>
      </c>
      <c r="H4" s="51">
        <v>0</v>
      </c>
      <c r="I4" s="15">
        <f>SUM(D4:H4)</f>
        <v>6</v>
      </c>
      <c r="J4" s="52" t="s">
        <v>30</v>
      </c>
    </row>
    <row r="5" spans="1:10" ht="63" customHeight="1" x14ac:dyDescent="0.2">
      <c r="A5" s="24">
        <v>2</v>
      </c>
      <c r="B5" s="57" t="s">
        <v>15</v>
      </c>
      <c r="C5" s="62" t="s">
        <v>18</v>
      </c>
      <c r="D5" s="26">
        <v>2</v>
      </c>
      <c r="E5" s="26">
        <v>1</v>
      </c>
      <c r="F5" s="26">
        <v>2</v>
      </c>
      <c r="G5" s="26">
        <v>2</v>
      </c>
      <c r="H5" s="27">
        <v>2</v>
      </c>
      <c r="I5" s="14">
        <f t="shared" ref="I5:I16" si="0">SUM(D5:H5)</f>
        <v>9</v>
      </c>
      <c r="J5" s="28" t="s">
        <v>31</v>
      </c>
    </row>
    <row r="6" spans="1:10" ht="63" customHeight="1" x14ac:dyDescent="0.2">
      <c r="A6" s="29">
        <v>3</v>
      </c>
      <c r="B6" s="58" t="s">
        <v>15</v>
      </c>
      <c r="C6" s="63" t="s">
        <v>19</v>
      </c>
      <c r="D6" s="31">
        <v>1</v>
      </c>
      <c r="E6" s="31">
        <v>2</v>
      </c>
      <c r="F6" s="31">
        <v>2</v>
      </c>
      <c r="G6" s="31">
        <v>2</v>
      </c>
      <c r="H6" s="32">
        <v>0</v>
      </c>
      <c r="I6" s="14">
        <f t="shared" si="0"/>
        <v>7</v>
      </c>
      <c r="J6" s="33" t="s">
        <v>32</v>
      </c>
    </row>
    <row r="7" spans="1:10" ht="63" customHeight="1" x14ac:dyDescent="0.2">
      <c r="A7" s="24">
        <v>4</v>
      </c>
      <c r="B7" s="57" t="s">
        <v>15</v>
      </c>
      <c r="C7" s="62" t="s">
        <v>20</v>
      </c>
      <c r="D7" s="26">
        <v>1</v>
      </c>
      <c r="E7" s="26">
        <v>2</v>
      </c>
      <c r="F7" s="26">
        <v>0</v>
      </c>
      <c r="G7" s="26">
        <v>2</v>
      </c>
      <c r="H7" s="27">
        <v>0</v>
      </c>
      <c r="I7" s="14">
        <f t="shared" si="0"/>
        <v>5</v>
      </c>
      <c r="J7" s="28" t="s">
        <v>33</v>
      </c>
    </row>
    <row r="8" spans="1:10" ht="63" customHeight="1" x14ac:dyDescent="0.2">
      <c r="A8" s="29">
        <v>5</v>
      </c>
      <c r="B8" s="58" t="s">
        <v>15</v>
      </c>
      <c r="C8" s="63" t="s">
        <v>21</v>
      </c>
      <c r="D8" s="31">
        <v>2</v>
      </c>
      <c r="E8" s="31">
        <v>1</v>
      </c>
      <c r="F8" s="31">
        <v>2</v>
      </c>
      <c r="G8" s="31">
        <v>2</v>
      </c>
      <c r="H8" s="32">
        <v>0</v>
      </c>
      <c r="I8" s="14">
        <f t="shared" si="0"/>
        <v>7</v>
      </c>
      <c r="J8" s="33" t="s">
        <v>34</v>
      </c>
    </row>
    <row r="9" spans="1:10" ht="63" customHeight="1" x14ac:dyDescent="0.2">
      <c r="A9" s="24">
        <v>6</v>
      </c>
      <c r="B9" s="57" t="s">
        <v>15</v>
      </c>
      <c r="C9" s="62" t="s">
        <v>22</v>
      </c>
      <c r="D9" s="26">
        <v>2</v>
      </c>
      <c r="E9" s="26">
        <v>2</v>
      </c>
      <c r="F9" s="26">
        <v>2</v>
      </c>
      <c r="G9" s="26">
        <v>2</v>
      </c>
      <c r="H9" s="27">
        <v>2</v>
      </c>
      <c r="I9" s="14">
        <f t="shared" si="0"/>
        <v>10</v>
      </c>
      <c r="J9" s="28" t="s">
        <v>35</v>
      </c>
    </row>
    <row r="10" spans="1:10" ht="63" customHeight="1" x14ac:dyDescent="0.2">
      <c r="A10" s="29">
        <v>7</v>
      </c>
      <c r="B10" s="58" t="s">
        <v>15</v>
      </c>
      <c r="C10" s="63" t="s">
        <v>23</v>
      </c>
      <c r="D10" s="31">
        <v>1</v>
      </c>
      <c r="E10" s="31">
        <v>2</v>
      </c>
      <c r="F10" s="31">
        <v>0</v>
      </c>
      <c r="G10" s="31">
        <v>2</v>
      </c>
      <c r="H10" s="32">
        <v>0</v>
      </c>
      <c r="I10" s="14">
        <f t="shared" si="0"/>
        <v>5</v>
      </c>
      <c r="J10" s="33" t="s">
        <v>36</v>
      </c>
    </row>
    <row r="11" spans="1:10" ht="63" customHeight="1" x14ac:dyDescent="0.2">
      <c r="A11" s="24">
        <v>8</v>
      </c>
      <c r="B11" s="57" t="s">
        <v>16</v>
      </c>
      <c r="C11" s="62" t="s">
        <v>24</v>
      </c>
      <c r="D11" s="26">
        <v>2</v>
      </c>
      <c r="E11" s="26">
        <v>1</v>
      </c>
      <c r="F11" s="26">
        <v>2</v>
      </c>
      <c r="G11" s="26">
        <v>2</v>
      </c>
      <c r="H11" s="27">
        <v>2</v>
      </c>
      <c r="I11" s="14">
        <f t="shared" si="0"/>
        <v>9</v>
      </c>
      <c r="J11" s="28" t="s">
        <v>37</v>
      </c>
    </row>
    <row r="12" spans="1:10" ht="63" customHeight="1" x14ac:dyDescent="0.2">
      <c r="A12" s="29">
        <v>9</v>
      </c>
      <c r="B12" s="58" t="s">
        <v>16</v>
      </c>
      <c r="C12" s="63" t="s">
        <v>25</v>
      </c>
      <c r="D12" s="31">
        <v>2</v>
      </c>
      <c r="E12" s="31">
        <v>1</v>
      </c>
      <c r="F12" s="31">
        <v>2</v>
      </c>
      <c r="G12" s="31">
        <v>2</v>
      </c>
      <c r="H12" s="32">
        <v>0</v>
      </c>
      <c r="I12" s="14">
        <f t="shared" si="0"/>
        <v>7</v>
      </c>
      <c r="J12" s="33" t="s">
        <v>38</v>
      </c>
    </row>
    <row r="13" spans="1:10" ht="63" customHeight="1" x14ac:dyDescent="0.2">
      <c r="A13" s="24">
        <v>10</v>
      </c>
      <c r="B13" s="57" t="s">
        <v>16</v>
      </c>
      <c r="C13" s="62" t="s">
        <v>26</v>
      </c>
      <c r="D13" s="26">
        <v>2</v>
      </c>
      <c r="E13" s="26">
        <v>1</v>
      </c>
      <c r="F13" s="26">
        <v>2</v>
      </c>
      <c r="G13" s="26">
        <v>2</v>
      </c>
      <c r="H13" s="27">
        <v>1</v>
      </c>
      <c r="I13" s="14">
        <f>SUM(D13:H13)</f>
        <v>8</v>
      </c>
      <c r="J13" s="28" t="s">
        <v>39</v>
      </c>
    </row>
    <row r="14" spans="1:10" ht="63" customHeight="1" x14ac:dyDescent="0.2">
      <c r="A14" s="29">
        <v>11</v>
      </c>
      <c r="B14" s="58" t="s">
        <v>16</v>
      </c>
      <c r="C14" s="63" t="s">
        <v>27</v>
      </c>
      <c r="D14" s="31">
        <v>2</v>
      </c>
      <c r="E14" s="31">
        <v>0</v>
      </c>
      <c r="F14" s="31">
        <v>2</v>
      </c>
      <c r="G14" s="31">
        <v>1</v>
      </c>
      <c r="H14" s="32">
        <v>2</v>
      </c>
      <c r="I14" s="14">
        <f t="shared" si="0"/>
        <v>7</v>
      </c>
      <c r="J14" s="33" t="s">
        <v>40</v>
      </c>
    </row>
    <row r="15" spans="1:10" ht="63" customHeight="1" x14ac:dyDescent="0.2">
      <c r="A15" s="24">
        <v>12</v>
      </c>
      <c r="B15" s="59" t="s">
        <v>16</v>
      </c>
      <c r="C15" s="62" t="s">
        <v>28</v>
      </c>
      <c r="D15" s="26">
        <v>2</v>
      </c>
      <c r="E15" s="26">
        <v>0</v>
      </c>
      <c r="F15" s="26">
        <v>0</v>
      </c>
      <c r="G15" s="26">
        <v>2</v>
      </c>
      <c r="H15" s="27">
        <v>1</v>
      </c>
      <c r="I15" s="15">
        <f t="shared" si="0"/>
        <v>5</v>
      </c>
      <c r="J15" s="28" t="s">
        <v>41</v>
      </c>
    </row>
    <row r="16" spans="1:10" ht="63" customHeight="1" x14ac:dyDescent="0.2">
      <c r="A16" s="9">
        <v>13</v>
      </c>
      <c r="B16" s="60" t="s">
        <v>16</v>
      </c>
      <c r="C16" s="64" t="s">
        <v>29</v>
      </c>
      <c r="D16" s="10">
        <v>2</v>
      </c>
      <c r="E16" s="10">
        <v>2</v>
      </c>
      <c r="F16" s="10">
        <v>2</v>
      </c>
      <c r="G16" s="10">
        <v>2</v>
      </c>
      <c r="H16" s="11">
        <v>2</v>
      </c>
      <c r="I16" s="16">
        <f t="shared" si="0"/>
        <v>10</v>
      </c>
      <c r="J16" s="12" t="s">
        <v>42</v>
      </c>
    </row>
    <row r="17" spans="1:9" ht="28" customHeight="1" x14ac:dyDescent="0.2">
      <c r="A17" s="170" t="s">
        <v>43</v>
      </c>
      <c r="B17" s="170"/>
      <c r="C17" s="171"/>
      <c r="D17" s="16">
        <f t="shared" ref="D17:I17" si="1">ROUND(AVERAGE(D4:D16),2)</f>
        <v>1.69</v>
      </c>
      <c r="E17" s="16">
        <f t="shared" si="1"/>
        <v>1.31</v>
      </c>
      <c r="F17" s="16">
        <f t="shared" si="1"/>
        <v>1.46</v>
      </c>
      <c r="G17" s="16">
        <f t="shared" si="1"/>
        <v>1.92</v>
      </c>
      <c r="H17" s="16">
        <f t="shared" si="1"/>
        <v>0.92</v>
      </c>
      <c r="I17" s="18">
        <f t="shared" si="1"/>
        <v>7.31</v>
      </c>
    </row>
  </sheetData>
  <mergeCells count="3">
    <mergeCell ref="A1:J1"/>
    <mergeCell ref="A2:J2"/>
    <mergeCell ref="A17:C1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6A4DD-81CC-204B-85CF-90F1E9035525}">
  <dimension ref="A1:E17"/>
  <sheetViews>
    <sheetView workbookViewId="0">
      <selection activeCell="A2" sqref="A2:E2"/>
    </sheetView>
  </sheetViews>
  <sheetFormatPr baseColWidth="10" defaultRowHeight="16" x14ac:dyDescent="0.2"/>
  <cols>
    <col min="1" max="1" width="9.1640625" customWidth="1"/>
    <col min="2" max="2" width="24.5" customWidth="1"/>
    <col min="3" max="3" width="38.5" customWidth="1"/>
    <col min="4" max="4" width="77.1640625" customWidth="1"/>
    <col min="5" max="5" width="35.6640625" customWidth="1"/>
  </cols>
  <sheetData>
    <row r="1" spans="1:5" ht="37" customHeight="1" x14ac:dyDescent="0.2">
      <c r="A1" s="172" t="s">
        <v>168</v>
      </c>
      <c r="B1" s="173"/>
      <c r="C1" s="173"/>
      <c r="D1" s="173"/>
      <c r="E1" s="174"/>
    </row>
    <row r="2" spans="1:5" ht="26" customHeight="1" x14ac:dyDescent="0.2">
      <c r="A2" s="175" t="s">
        <v>210</v>
      </c>
      <c r="B2" s="176"/>
      <c r="C2" s="176"/>
      <c r="D2" s="176"/>
      <c r="E2" s="177"/>
    </row>
    <row r="3" spans="1:5" ht="29" customHeight="1" x14ac:dyDescent="0.2">
      <c r="A3" s="46" t="s">
        <v>10</v>
      </c>
      <c r="B3" s="47" t="s">
        <v>167</v>
      </c>
      <c r="C3" s="47" t="s">
        <v>11</v>
      </c>
      <c r="D3" s="47" t="s">
        <v>169</v>
      </c>
      <c r="E3" s="48" t="s">
        <v>170</v>
      </c>
    </row>
    <row r="4" spans="1:5" ht="108" customHeight="1" x14ac:dyDescent="0.2">
      <c r="A4" s="19">
        <v>1</v>
      </c>
      <c r="B4" s="35" t="s">
        <v>15</v>
      </c>
      <c r="C4" s="71" t="s">
        <v>171</v>
      </c>
      <c r="D4" s="85" t="s">
        <v>177</v>
      </c>
      <c r="E4" s="76" t="s">
        <v>176</v>
      </c>
    </row>
    <row r="5" spans="1:5" ht="120" customHeight="1" x14ac:dyDescent="0.2">
      <c r="A5" s="24">
        <v>2</v>
      </c>
      <c r="B5" s="37" t="s">
        <v>15</v>
      </c>
      <c r="C5" s="72" t="s">
        <v>172</v>
      </c>
      <c r="D5" s="84" t="s">
        <v>194</v>
      </c>
      <c r="E5" s="77" t="s">
        <v>178</v>
      </c>
    </row>
    <row r="6" spans="1:5" ht="192" customHeight="1" x14ac:dyDescent="0.2">
      <c r="A6" s="29">
        <v>3</v>
      </c>
      <c r="B6" s="39" t="s">
        <v>15</v>
      </c>
      <c r="C6" s="73" t="s">
        <v>173</v>
      </c>
      <c r="D6" s="83" t="s">
        <v>193</v>
      </c>
      <c r="E6" s="78" t="s">
        <v>179</v>
      </c>
    </row>
    <row r="7" spans="1:5" ht="79" customHeight="1" x14ac:dyDescent="0.2">
      <c r="A7" s="24">
        <v>4</v>
      </c>
      <c r="B7" s="37" t="s">
        <v>15</v>
      </c>
      <c r="C7" s="72" t="s">
        <v>20</v>
      </c>
      <c r="D7" s="84" t="s">
        <v>192</v>
      </c>
      <c r="E7" s="77" t="s">
        <v>180</v>
      </c>
    </row>
    <row r="8" spans="1:5" ht="192" customHeight="1" x14ac:dyDescent="0.2">
      <c r="A8" s="29">
        <v>5</v>
      </c>
      <c r="B8" s="39" t="s">
        <v>15</v>
      </c>
      <c r="C8" s="73" t="s">
        <v>174</v>
      </c>
      <c r="D8" s="83" t="s">
        <v>202</v>
      </c>
      <c r="E8" s="78" t="s">
        <v>181</v>
      </c>
    </row>
    <row r="9" spans="1:5" ht="124" customHeight="1" x14ac:dyDescent="0.2">
      <c r="A9" s="24">
        <v>6</v>
      </c>
      <c r="B9" s="37" t="s">
        <v>15</v>
      </c>
      <c r="C9" s="72" t="s">
        <v>22</v>
      </c>
      <c r="D9" s="81" t="s">
        <v>191</v>
      </c>
      <c r="E9" s="77" t="s">
        <v>182</v>
      </c>
    </row>
    <row r="10" spans="1:5" ht="123" customHeight="1" x14ac:dyDescent="0.2">
      <c r="A10" s="29">
        <v>7</v>
      </c>
      <c r="B10" s="39" t="s">
        <v>15</v>
      </c>
      <c r="C10" s="73" t="s">
        <v>175</v>
      </c>
      <c r="D10" s="82" t="s">
        <v>190</v>
      </c>
      <c r="E10" s="78" t="s">
        <v>183</v>
      </c>
    </row>
    <row r="11" spans="1:5" ht="317" customHeight="1" x14ac:dyDescent="0.2">
      <c r="A11" s="24">
        <v>8</v>
      </c>
      <c r="B11" s="37" t="s">
        <v>16</v>
      </c>
      <c r="C11" s="72" t="s">
        <v>24</v>
      </c>
      <c r="D11" s="81" t="s">
        <v>205</v>
      </c>
      <c r="E11" s="77" t="s">
        <v>184</v>
      </c>
    </row>
    <row r="12" spans="1:5" ht="163" customHeight="1" x14ac:dyDescent="0.2">
      <c r="A12" s="29">
        <v>9</v>
      </c>
      <c r="B12" s="39" t="s">
        <v>16</v>
      </c>
      <c r="C12" s="73" t="s">
        <v>25</v>
      </c>
      <c r="D12" s="83" t="s">
        <v>204</v>
      </c>
      <c r="E12" s="78" t="s">
        <v>185</v>
      </c>
    </row>
    <row r="13" spans="1:5" ht="190" customHeight="1" x14ac:dyDescent="0.2">
      <c r="A13" s="24">
        <v>10</v>
      </c>
      <c r="B13" s="37" t="s">
        <v>16</v>
      </c>
      <c r="C13" s="72" t="s">
        <v>26</v>
      </c>
      <c r="D13" s="84" t="s">
        <v>203</v>
      </c>
      <c r="E13" s="77" t="s">
        <v>186</v>
      </c>
    </row>
    <row r="14" spans="1:5" ht="175" customHeight="1" x14ac:dyDescent="0.2">
      <c r="A14" s="29">
        <v>11</v>
      </c>
      <c r="B14" s="39" t="s">
        <v>16</v>
      </c>
      <c r="C14" s="73" t="s">
        <v>27</v>
      </c>
      <c r="D14" s="83" t="s">
        <v>206</v>
      </c>
      <c r="E14" s="78" t="s">
        <v>187</v>
      </c>
    </row>
    <row r="15" spans="1:5" ht="135" customHeight="1" x14ac:dyDescent="0.2">
      <c r="A15" s="24">
        <v>12</v>
      </c>
      <c r="B15" s="43" t="s">
        <v>16</v>
      </c>
      <c r="C15" s="74" t="s">
        <v>28</v>
      </c>
      <c r="D15" s="84" t="s">
        <v>200</v>
      </c>
      <c r="E15" s="77" t="s">
        <v>188</v>
      </c>
    </row>
    <row r="16" spans="1:5" ht="191" customHeight="1" x14ac:dyDescent="0.2">
      <c r="A16" s="70">
        <v>13</v>
      </c>
      <c r="B16" s="87" t="s">
        <v>16</v>
      </c>
      <c r="C16" s="75" t="s">
        <v>29</v>
      </c>
      <c r="D16" s="86" t="s">
        <v>201</v>
      </c>
      <c r="E16" s="79" t="s">
        <v>189</v>
      </c>
    </row>
    <row r="17" spans="1:5" ht="20" customHeight="1" x14ac:dyDescent="0.2">
      <c r="A17" s="67"/>
      <c r="B17" s="68"/>
      <c r="C17" s="68"/>
      <c r="D17" s="68"/>
      <c r="E17" s="69"/>
    </row>
  </sheetData>
  <mergeCells count="2">
    <mergeCell ref="A1:E1"/>
    <mergeCell ref="A2:E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364A2-C18D-1444-ACA0-1A378773F246}">
  <dimension ref="A1:L28"/>
  <sheetViews>
    <sheetView zoomScale="80" zoomScaleNormal="80" workbookViewId="0">
      <pane ySplit="3" topLeftCell="A4" activePane="bottomLeft" state="frozen"/>
      <selection pane="bottomLeft" activeCell="C26" sqref="C26"/>
    </sheetView>
  </sheetViews>
  <sheetFormatPr baseColWidth="10" defaultRowHeight="16" x14ac:dyDescent="0.2"/>
  <cols>
    <col min="1" max="1" width="5.5" customWidth="1"/>
    <col min="2" max="2" width="23.33203125" customWidth="1"/>
    <col min="3" max="3" width="21" bestFit="1" customWidth="1"/>
    <col min="4" max="4" width="50.1640625" customWidth="1"/>
    <col min="5" max="5" width="12.33203125" customWidth="1"/>
    <col min="6" max="6" width="11" customWidth="1"/>
    <col min="7" max="7" width="16.1640625" customWidth="1"/>
    <col min="8" max="8" width="16.33203125" customWidth="1"/>
    <col min="9" max="9" width="14.33203125" customWidth="1"/>
    <col min="10" max="10" width="11" customWidth="1"/>
    <col min="12" max="12" width="46.1640625" customWidth="1"/>
  </cols>
  <sheetData>
    <row r="1" spans="1:12" ht="47" customHeight="1" x14ac:dyDescent="0.2">
      <c r="A1" s="178" t="s">
        <v>44</v>
      </c>
      <c r="B1" s="179"/>
      <c r="C1" s="179"/>
      <c r="D1" s="179"/>
      <c r="E1" s="179"/>
      <c r="F1" s="179"/>
      <c r="G1" s="179"/>
      <c r="H1" s="179"/>
      <c r="I1" s="179"/>
      <c r="J1" s="179"/>
      <c r="K1" s="179"/>
      <c r="L1" s="180"/>
    </row>
    <row r="2" spans="1:12" ht="32" customHeight="1" x14ac:dyDescent="0.2">
      <c r="A2" s="181" t="s">
        <v>211</v>
      </c>
      <c r="B2" s="182"/>
      <c r="C2" s="182"/>
      <c r="D2" s="182"/>
      <c r="E2" s="182"/>
      <c r="F2" s="182"/>
      <c r="G2" s="182"/>
      <c r="H2" s="182"/>
      <c r="I2" s="182"/>
      <c r="J2" s="182"/>
      <c r="K2" s="182"/>
      <c r="L2" s="183"/>
    </row>
    <row r="3" spans="1:12" ht="59" customHeight="1" x14ac:dyDescent="0.2">
      <c r="A3" s="46" t="s">
        <v>10</v>
      </c>
      <c r="B3" s="47" t="s">
        <v>6</v>
      </c>
      <c r="C3" s="47" t="s">
        <v>45</v>
      </c>
      <c r="D3" s="47" t="s">
        <v>7</v>
      </c>
      <c r="E3" s="47" t="s">
        <v>46</v>
      </c>
      <c r="F3" s="47" t="s">
        <v>8</v>
      </c>
      <c r="G3" s="47" t="s">
        <v>9</v>
      </c>
      <c r="H3" s="47" t="s">
        <v>47</v>
      </c>
      <c r="I3" s="47" t="s">
        <v>48</v>
      </c>
      <c r="J3" s="47" t="s">
        <v>49</v>
      </c>
      <c r="K3" s="47" t="s">
        <v>50</v>
      </c>
      <c r="L3" s="48" t="s">
        <v>13</v>
      </c>
    </row>
    <row r="4" spans="1:12" ht="67" customHeight="1" x14ac:dyDescent="0.2">
      <c r="A4" s="19">
        <v>1</v>
      </c>
      <c r="B4" s="35" t="s">
        <v>17</v>
      </c>
      <c r="C4" s="20" t="s">
        <v>51</v>
      </c>
      <c r="D4" s="36" t="s">
        <v>74</v>
      </c>
      <c r="E4" s="21">
        <v>1</v>
      </c>
      <c r="F4" s="21">
        <v>1</v>
      </c>
      <c r="G4" s="21">
        <v>0</v>
      </c>
      <c r="H4" s="21">
        <v>1</v>
      </c>
      <c r="I4" s="21">
        <v>2</v>
      </c>
      <c r="J4" s="22">
        <v>3</v>
      </c>
      <c r="K4" s="13">
        <f>SUM(E4:J4)</f>
        <v>8</v>
      </c>
      <c r="L4" s="23" t="s">
        <v>118</v>
      </c>
    </row>
    <row r="5" spans="1:12" ht="108" customHeight="1" x14ac:dyDescent="0.2">
      <c r="A5" s="24">
        <v>2</v>
      </c>
      <c r="B5" s="37" t="s">
        <v>17</v>
      </c>
      <c r="C5" s="25" t="s">
        <v>52</v>
      </c>
      <c r="D5" s="38" t="s">
        <v>117</v>
      </c>
      <c r="E5" s="26">
        <v>1</v>
      </c>
      <c r="F5" s="26">
        <v>2</v>
      </c>
      <c r="G5" s="26">
        <v>1</v>
      </c>
      <c r="H5" s="26">
        <v>2</v>
      </c>
      <c r="I5" s="26">
        <v>1</v>
      </c>
      <c r="J5" s="27">
        <v>3</v>
      </c>
      <c r="K5" s="14">
        <f t="shared" ref="K5:K16" si="0">SUM(E5:J5)</f>
        <v>10</v>
      </c>
      <c r="L5" s="28" t="s">
        <v>84</v>
      </c>
    </row>
    <row r="6" spans="1:12" ht="77" customHeight="1" x14ac:dyDescent="0.2">
      <c r="A6" s="29">
        <v>3</v>
      </c>
      <c r="B6" s="39" t="s">
        <v>17</v>
      </c>
      <c r="C6" s="30" t="s">
        <v>53</v>
      </c>
      <c r="D6" s="40" t="s">
        <v>116</v>
      </c>
      <c r="E6" s="31">
        <v>0</v>
      </c>
      <c r="F6" s="31">
        <v>0</v>
      </c>
      <c r="G6" s="31">
        <v>1</v>
      </c>
      <c r="H6" s="31">
        <v>2</v>
      </c>
      <c r="I6" s="31">
        <v>0</v>
      </c>
      <c r="J6" s="32">
        <v>3</v>
      </c>
      <c r="K6" s="14">
        <f t="shared" si="0"/>
        <v>6</v>
      </c>
      <c r="L6" s="41" t="s">
        <v>93</v>
      </c>
    </row>
    <row r="7" spans="1:12" ht="78" customHeight="1" x14ac:dyDescent="0.2">
      <c r="A7" s="24">
        <v>4</v>
      </c>
      <c r="B7" s="37" t="s">
        <v>17</v>
      </c>
      <c r="C7" s="25" t="s">
        <v>54</v>
      </c>
      <c r="D7" s="38" t="s">
        <v>75</v>
      </c>
      <c r="E7" s="26">
        <v>0</v>
      </c>
      <c r="F7" s="26">
        <v>2</v>
      </c>
      <c r="G7" s="26">
        <v>1</v>
      </c>
      <c r="H7" s="26">
        <v>2</v>
      </c>
      <c r="I7" s="26">
        <v>1</v>
      </c>
      <c r="J7" s="27">
        <v>3</v>
      </c>
      <c r="K7" s="14">
        <f t="shared" si="0"/>
        <v>9</v>
      </c>
      <c r="L7" s="28" t="s">
        <v>85</v>
      </c>
    </row>
    <row r="8" spans="1:12" ht="67" customHeight="1" x14ac:dyDescent="0.2">
      <c r="A8" s="29">
        <v>5</v>
      </c>
      <c r="B8" s="39" t="s">
        <v>17</v>
      </c>
      <c r="C8" s="30" t="s">
        <v>55</v>
      </c>
      <c r="D8" s="40" t="s">
        <v>76</v>
      </c>
      <c r="E8" s="31">
        <v>1</v>
      </c>
      <c r="F8" s="31">
        <v>1</v>
      </c>
      <c r="G8" s="31">
        <v>2</v>
      </c>
      <c r="H8" s="31">
        <v>2</v>
      </c>
      <c r="I8" s="31">
        <v>0</v>
      </c>
      <c r="J8" s="32">
        <v>3</v>
      </c>
      <c r="K8" s="14">
        <f t="shared" si="0"/>
        <v>9</v>
      </c>
      <c r="L8" s="41" t="s">
        <v>92</v>
      </c>
    </row>
    <row r="9" spans="1:12" ht="82" customHeight="1" x14ac:dyDescent="0.2">
      <c r="A9" s="24">
        <v>6</v>
      </c>
      <c r="B9" s="37" t="s">
        <v>18</v>
      </c>
      <c r="C9" s="25" t="s">
        <v>56</v>
      </c>
      <c r="D9" s="38" t="s">
        <v>77</v>
      </c>
      <c r="E9" s="26">
        <v>1</v>
      </c>
      <c r="F9" s="26">
        <v>0</v>
      </c>
      <c r="G9" s="26">
        <v>0</v>
      </c>
      <c r="H9" s="26">
        <v>2</v>
      </c>
      <c r="I9" s="26">
        <v>0</v>
      </c>
      <c r="J9" s="27">
        <v>3</v>
      </c>
      <c r="K9" s="14">
        <f t="shared" si="0"/>
        <v>6</v>
      </c>
      <c r="L9" s="28" t="s">
        <v>86</v>
      </c>
    </row>
    <row r="10" spans="1:12" ht="76" customHeight="1" x14ac:dyDescent="0.2">
      <c r="A10" s="29">
        <v>7</v>
      </c>
      <c r="B10" s="39" t="s">
        <v>18</v>
      </c>
      <c r="C10" s="30" t="s">
        <v>57</v>
      </c>
      <c r="D10" s="40" t="s">
        <v>115</v>
      </c>
      <c r="E10" s="31">
        <v>0</v>
      </c>
      <c r="F10" s="31">
        <v>1</v>
      </c>
      <c r="G10" s="31">
        <v>1</v>
      </c>
      <c r="H10" s="31">
        <v>2</v>
      </c>
      <c r="I10" s="31">
        <v>0</v>
      </c>
      <c r="J10" s="32">
        <v>3</v>
      </c>
      <c r="K10" s="14">
        <f t="shared" si="0"/>
        <v>7</v>
      </c>
      <c r="L10" s="41" t="s">
        <v>90</v>
      </c>
    </row>
    <row r="11" spans="1:12" ht="77" customHeight="1" x14ac:dyDescent="0.2">
      <c r="A11" s="24">
        <v>8</v>
      </c>
      <c r="B11" s="37" t="s">
        <v>18</v>
      </c>
      <c r="C11" s="25" t="s">
        <v>58</v>
      </c>
      <c r="D11" s="38" t="s">
        <v>114</v>
      </c>
      <c r="E11" s="26">
        <v>1</v>
      </c>
      <c r="F11" s="26">
        <v>1</v>
      </c>
      <c r="G11" s="26">
        <v>2</v>
      </c>
      <c r="H11" s="26">
        <v>2</v>
      </c>
      <c r="I11" s="26">
        <v>0</v>
      </c>
      <c r="J11" s="27">
        <v>3</v>
      </c>
      <c r="K11" s="14">
        <f t="shared" si="0"/>
        <v>9</v>
      </c>
      <c r="L11" s="42" t="s">
        <v>89</v>
      </c>
    </row>
    <row r="12" spans="1:12" ht="67" customHeight="1" x14ac:dyDescent="0.2">
      <c r="A12" s="29">
        <v>9</v>
      </c>
      <c r="B12" s="39" t="s">
        <v>18</v>
      </c>
      <c r="C12" s="30" t="s">
        <v>59</v>
      </c>
      <c r="D12" s="40" t="s">
        <v>78</v>
      </c>
      <c r="E12" s="31">
        <v>0</v>
      </c>
      <c r="F12" s="31">
        <v>1</v>
      </c>
      <c r="G12" s="31">
        <v>0</v>
      </c>
      <c r="H12" s="31">
        <v>1</v>
      </c>
      <c r="I12" s="31">
        <v>1</v>
      </c>
      <c r="J12" s="32">
        <v>3</v>
      </c>
      <c r="K12" s="14">
        <f t="shared" si="0"/>
        <v>6</v>
      </c>
      <c r="L12" s="33" t="s">
        <v>87</v>
      </c>
    </row>
    <row r="13" spans="1:12" ht="124" customHeight="1" x14ac:dyDescent="0.2">
      <c r="A13" s="24">
        <v>10</v>
      </c>
      <c r="B13" s="37" t="s">
        <v>19</v>
      </c>
      <c r="C13" s="25" t="s">
        <v>60</v>
      </c>
      <c r="D13" s="38" t="s">
        <v>113</v>
      </c>
      <c r="E13" s="26">
        <v>1</v>
      </c>
      <c r="F13" s="26">
        <v>0</v>
      </c>
      <c r="G13" s="26">
        <v>1</v>
      </c>
      <c r="H13" s="26">
        <v>2</v>
      </c>
      <c r="I13" s="26">
        <v>0</v>
      </c>
      <c r="J13" s="27">
        <v>3</v>
      </c>
      <c r="K13" s="14">
        <f>SUM(E13:J13)</f>
        <v>7</v>
      </c>
      <c r="L13" s="42" t="s">
        <v>91</v>
      </c>
    </row>
    <row r="14" spans="1:12" ht="124" customHeight="1" x14ac:dyDescent="0.2">
      <c r="A14" s="29">
        <v>11</v>
      </c>
      <c r="B14" s="39" t="s">
        <v>19</v>
      </c>
      <c r="C14" s="30" t="s">
        <v>61</v>
      </c>
      <c r="D14" s="40" t="s">
        <v>112</v>
      </c>
      <c r="E14" s="31">
        <v>1</v>
      </c>
      <c r="F14" s="31">
        <v>2</v>
      </c>
      <c r="G14" s="31">
        <v>0</v>
      </c>
      <c r="H14" s="31">
        <v>1</v>
      </c>
      <c r="I14" s="31">
        <v>2</v>
      </c>
      <c r="J14" s="32">
        <v>3</v>
      </c>
      <c r="K14" s="14">
        <f t="shared" si="0"/>
        <v>9</v>
      </c>
      <c r="L14" s="41" t="s">
        <v>119</v>
      </c>
    </row>
    <row r="15" spans="1:12" ht="80" customHeight="1" x14ac:dyDescent="0.2">
      <c r="A15" s="24">
        <v>12</v>
      </c>
      <c r="B15" s="43" t="s">
        <v>19</v>
      </c>
      <c r="C15" s="34" t="s">
        <v>62</v>
      </c>
      <c r="D15" s="38" t="s">
        <v>79</v>
      </c>
      <c r="E15" s="26">
        <v>1</v>
      </c>
      <c r="F15" s="26">
        <v>1</v>
      </c>
      <c r="G15" s="26">
        <v>1</v>
      </c>
      <c r="H15" s="26">
        <v>1</v>
      </c>
      <c r="I15" s="26">
        <v>2</v>
      </c>
      <c r="J15" s="27">
        <v>3</v>
      </c>
      <c r="K15" s="14">
        <f t="shared" si="0"/>
        <v>9</v>
      </c>
      <c r="L15" s="28" t="s">
        <v>88</v>
      </c>
    </row>
    <row r="16" spans="1:12" ht="64" customHeight="1" x14ac:dyDescent="0.2">
      <c r="A16" s="29">
        <v>13</v>
      </c>
      <c r="B16" s="39" t="s">
        <v>19</v>
      </c>
      <c r="C16" s="30" t="s">
        <v>63</v>
      </c>
      <c r="D16" s="40" t="s">
        <v>80</v>
      </c>
      <c r="E16" s="31">
        <v>1</v>
      </c>
      <c r="F16" s="31">
        <v>1</v>
      </c>
      <c r="G16" s="31">
        <v>0</v>
      </c>
      <c r="H16" s="31">
        <v>0</v>
      </c>
      <c r="I16" s="31">
        <v>2</v>
      </c>
      <c r="J16" s="32">
        <v>3</v>
      </c>
      <c r="K16" s="14">
        <f t="shared" si="0"/>
        <v>7</v>
      </c>
      <c r="L16" s="33" t="s">
        <v>94</v>
      </c>
    </row>
    <row r="17" spans="1:12" ht="62" customHeight="1" x14ac:dyDescent="0.2">
      <c r="A17" s="24">
        <v>14</v>
      </c>
      <c r="B17" s="37" t="s">
        <v>20</v>
      </c>
      <c r="C17" s="25" t="s">
        <v>64</v>
      </c>
      <c r="D17" s="38" t="s">
        <v>81</v>
      </c>
      <c r="E17" s="26">
        <v>1</v>
      </c>
      <c r="F17" s="26">
        <v>1</v>
      </c>
      <c r="G17" s="26">
        <v>0</v>
      </c>
      <c r="H17" s="26">
        <v>1</v>
      </c>
      <c r="I17" s="26">
        <v>2</v>
      </c>
      <c r="J17" s="27">
        <v>3</v>
      </c>
      <c r="K17" s="14">
        <f t="shared" ref="K17:K23" si="1">SUM(E17:J17)</f>
        <v>8</v>
      </c>
      <c r="L17" s="42" t="s">
        <v>95</v>
      </c>
    </row>
    <row r="18" spans="1:12" ht="106" customHeight="1" x14ac:dyDescent="0.2">
      <c r="A18" s="29">
        <v>15</v>
      </c>
      <c r="B18" s="39" t="s">
        <v>20</v>
      </c>
      <c r="C18" s="30" t="s">
        <v>65</v>
      </c>
      <c r="D18" s="40" t="s">
        <v>111</v>
      </c>
      <c r="E18" s="31">
        <v>1</v>
      </c>
      <c r="F18" s="31">
        <v>2</v>
      </c>
      <c r="G18" s="31">
        <v>0</v>
      </c>
      <c r="H18" s="31">
        <v>1</v>
      </c>
      <c r="I18" s="31">
        <v>1</v>
      </c>
      <c r="J18" s="32">
        <v>3</v>
      </c>
      <c r="K18" s="14">
        <f t="shared" si="1"/>
        <v>8</v>
      </c>
      <c r="L18" s="41" t="s">
        <v>96</v>
      </c>
    </row>
    <row r="19" spans="1:12" ht="63" customHeight="1" x14ac:dyDescent="0.2">
      <c r="A19" s="24">
        <v>16</v>
      </c>
      <c r="B19" s="37" t="s">
        <v>20</v>
      </c>
      <c r="C19" s="25" t="s">
        <v>66</v>
      </c>
      <c r="D19" s="38" t="s">
        <v>82</v>
      </c>
      <c r="E19" s="26">
        <v>1</v>
      </c>
      <c r="F19" s="26">
        <v>2</v>
      </c>
      <c r="G19" s="26">
        <v>1</v>
      </c>
      <c r="H19" s="26">
        <v>2</v>
      </c>
      <c r="I19" s="26">
        <v>2</v>
      </c>
      <c r="J19" s="27">
        <v>3</v>
      </c>
      <c r="K19" s="14">
        <f t="shared" si="1"/>
        <v>11</v>
      </c>
      <c r="L19" s="28" t="s">
        <v>97</v>
      </c>
    </row>
    <row r="20" spans="1:12" ht="65" customHeight="1" x14ac:dyDescent="0.2">
      <c r="A20" s="29">
        <v>17</v>
      </c>
      <c r="B20" s="39" t="s">
        <v>20</v>
      </c>
      <c r="C20" s="30" t="s">
        <v>67</v>
      </c>
      <c r="D20" s="40" t="s">
        <v>83</v>
      </c>
      <c r="E20" s="31">
        <v>1</v>
      </c>
      <c r="F20" s="31">
        <v>1</v>
      </c>
      <c r="G20" s="31">
        <v>1</v>
      </c>
      <c r="H20" s="31">
        <v>1</v>
      </c>
      <c r="I20" s="31">
        <v>2</v>
      </c>
      <c r="J20" s="32">
        <v>3</v>
      </c>
      <c r="K20" s="15">
        <f t="shared" si="1"/>
        <v>9</v>
      </c>
      <c r="L20" s="41" t="s">
        <v>98</v>
      </c>
    </row>
    <row r="21" spans="1:12" ht="110" customHeight="1" x14ac:dyDescent="0.2">
      <c r="A21" s="24">
        <v>18</v>
      </c>
      <c r="B21" s="37" t="s">
        <v>20</v>
      </c>
      <c r="C21" s="25" t="s">
        <v>68</v>
      </c>
      <c r="D21" s="38" t="s">
        <v>110</v>
      </c>
      <c r="E21" s="26">
        <v>1</v>
      </c>
      <c r="F21" s="26">
        <v>1</v>
      </c>
      <c r="G21" s="26">
        <v>1</v>
      </c>
      <c r="H21" s="26">
        <v>2</v>
      </c>
      <c r="I21" s="26">
        <v>2</v>
      </c>
      <c r="J21" s="27">
        <v>3</v>
      </c>
      <c r="K21" s="14">
        <f t="shared" si="1"/>
        <v>10</v>
      </c>
      <c r="L21" s="28" t="s">
        <v>99</v>
      </c>
    </row>
    <row r="22" spans="1:12" ht="109" customHeight="1" x14ac:dyDescent="0.2">
      <c r="A22" s="29">
        <v>19</v>
      </c>
      <c r="B22" s="39" t="s">
        <v>21</v>
      </c>
      <c r="C22" s="30" t="s">
        <v>69</v>
      </c>
      <c r="D22" s="40" t="s">
        <v>109</v>
      </c>
      <c r="E22" s="31">
        <v>1</v>
      </c>
      <c r="F22" s="31">
        <v>1</v>
      </c>
      <c r="G22" s="31">
        <v>2</v>
      </c>
      <c r="H22" s="31">
        <v>1</v>
      </c>
      <c r="I22" s="31">
        <v>2</v>
      </c>
      <c r="J22" s="32">
        <v>3</v>
      </c>
      <c r="K22" s="14">
        <f t="shared" si="1"/>
        <v>10</v>
      </c>
      <c r="L22" s="41" t="s">
        <v>100</v>
      </c>
    </row>
    <row r="23" spans="1:12" ht="96" customHeight="1" x14ac:dyDescent="0.2">
      <c r="A23" s="24">
        <v>20</v>
      </c>
      <c r="B23" s="37" t="s">
        <v>21</v>
      </c>
      <c r="C23" s="25" t="s">
        <v>61</v>
      </c>
      <c r="D23" s="38" t="s">
        <v>108</v>
      </c>
      <c r="E23" s="26">
        <v>1</v>
      </c>
      <c r="F23" s="26">
        <v>2</v>
      </c>
      <c r="G23" s="26">
        <v>1</v>
      </c>
      <c r="H23" s="26">
        <v>1</v>
      </c>
      <c r="I23" s="26">
        <v>2</v>
      </c>
      <c r="J23" s="27">
        <v>3</v>
      </c>
      <c r="K23" s="14">
        <f t="shared" si="1"/>
        <v>10</v>
      </c>
      <c r="L23" s="42" t="s">
        <v>101</v>
      </c>
    </row>
    <row r="24" spans="1:12" ht="209" customHeight="1" x14ac:dyDescent="0.2">
      <c r="A24" s="29">
        <v>21</v>
      </c>
      <c r="B24" s="39" t="s">
        <v>21</v>
      </c>
      <c r="C24" s="30" t="s">
        <v>70</v>
      </c>
      <c r="D24" s="40" t="s">
        <v>107</v>
      </c>
      <c r="E24" s="31">
        <v>2</v>
      </c>
      <c r="F24" s="31">
        <v>2</v>
      </c>
      <c r="G24" s="31">
        <v>2</v>
      </c>
      <c r="H24" s="31">
        <v>2</v>
      </c>
      <c r="I24" s="31">
        <v>1</v>
      </c>
      <c r="J24" s="32">
        <v>3</v>
      </c>
      <c r="K24" s="14">
        <f>SUM(E24:J24)</f>
        <v>12</v>
      </c>
      <c r="L24" s="33" t="s">
        <v>102</v>
      </c>
    </row>
    <row r="25" spans="1:12" ht="91" customHeight="1" x14ac:dyDescent="0.2">
      <c r="A25" s="24">
        <v>22</v>
      </c>
      <c r="B25" s="37" t="s">
        <v>21</v>
      </c>
      <c r="C25" s="25" t="s">
        <v>71</v>
      </c>
      <c r="D25" s="38" t="s">
        <v>106</v>
      </c>
      <c r="E25" s="26">
        <v>1</v>
      </c>
      <c r="F25" s="26">
        <v>1</v>
      </c>
      <c r="G25" s="26">
        <v>1</v>
      </c>
      <c r="H25" s="26">
        <v>2</v>
      </c>
      <c r="I25" s="26">
        <v>2</v>
      </c>
      <c r="J25" s="27">
        <v>3</v>
      </c>
      <c r="K25" s="14">
        <f t="shared" ref="K25:K27" si="2">SUM(E25:J25)</f>
        <v>10</v>
      </c>
      <c r="L25" s="28" t="s">
        <v>103</v>
      </c>
    </row>
    <row r="26" spans="1:12" ht="109" customHeight="1" x14ac:dyDescent="0.2">
      <c r="A26" s="29">
        <v>23</v>
      </c>
      <c r="B26" s="44" t="s">
        <v>21</v>
      </c>
      <c r="C26" s="45" t="s">
        <v>72</v>
      </c>
      <c r="D26" s="40" t="s">
        <v>209</v>
      </c>
      <c r="E26" s="31">
        <v>2</v>
      </c>
      <c r="F26" s="31">
        <v>2</v>
      </c>
      <c r="G26" s="31">
        <v>2</v>
      </c>
      <c r="H26" s="31">
        <v>2</v>
      </c>
      <c r="I26" s="31">
        <v>1</v>
      </c>
      <c r="J26" s="32">
        <v>3</v>
      </c>
      <c r="K26" s="14">
        <f t="shared" si="2"/>
        <v>12</v>
      </c>
      <c r="L26" s="41" t="s">
        <v>104</v>
      </c>
    </row>
    <row r="27" spans="1:12" ht="69" customHeight="1" x14ac:dyDescent="0.2">
      <c r="A27" s="2">
        <v>24</v>
      </c>
      <c r="B27" s="3" t="s">
        <v>21</v>
      </c>
      <c r="C27" s="4" t="s">
        <v>73</v>
      </c>
      <c r="D27" s="5" t="s">
        <v>208</v>
      </c>
      <c r="E27" s="6">
        <v>0</v>
      </c>
      <c r="F27" s="6">
        <v>2</v>
      </c>
      <c r="G27" s="6">
        <v>0</v>
      </c>
      <c r="H27" s="6">
        <v>1</v>
      </c>
      <c r="I27" s="6">
        <v>0</v>
      </c>
      <c r="J27" s="7">
        <v>3</v>
      </c>
      <c r="K27" s="16">
        <f t="shared" si="2"/>
        <v>6</v>
      </c>
      <c r="L27" s="8" t="s">
        <v>105</v>
      </c>
    </row>
    <row r="28" spans="1:12" ht="22" x14ac:dyDescent="0.2">
      <c r="A28" s="184" t="s">
        <v>43</v>
      </c>
      <c r="B28" s="185"/>
      <c r="C28" s="185"/>
      <c r="D28" s="186"/>
      <c r="E28" s="17">
        <f>ROUND(AVERAGE(E4:E27),2)</f>
        <v>0.88</v>
      </c>
      <c r="F28" s="17">
        <f t="shared" ref="F28:J28" si="3">ROUND(AVERAGE(F4:F27),2)</f>
        <v>1.25</v>
      </c>
      <c r="G28" s="17">
        <f t="shared" si="3"/>
        <v>0.88</v>
      </c>
      <c r="H28" s="17">
        <f t="shared" si="3"/>
        <v>1.5</v>
      </c>
      <c r="I28" s="17">
        <f t="shared" si="3"/>
        <v>1.17</v>
      </c>
      <c r="J28" s="17">
        <f t="shared" si="3"/>
        <v>3</v>
      </c>
      <c r="K28" s="17">
        <f>ROUND(AVERAGE(K4:K27),2)</f>
        <v>8.67</v>
      </c>
    </row>
  </sheetData>
  <mergeCells count="3">
    <mergeCell ref="A1:L1"/>
    <mergeCell ref="A2:L2"/>
    <mergeCell ref="A28:D2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B9317-AA18-B44B-839F-B7B3A39DCAA0}">
  <dimension ref="A1:L37"/>
  <sheetViews>
    <sheetView workbookViewId="0">
      <pane ySplit="1" topLeftCell="A2" activePane="bottomLeft" state="frozen"/>
      <selection pane="bottomLeft" activeCell="M30" sqref="M30"/>
    </sheetView>
  </sheetViews>
  <sheetFormatPr baseColWidth="10" defaultRowHeight="16" x14ac:dyDescent="0.2"/>
  <cols>
    <col min="1" max="1" width="10.83203125" customWidth="1"/>
    <col min="2" max="6" width="9.33203125" customWidth="1"/>
    <col min="7" max="7" width="9.83203125" customWidth="1"/>
    <col min="8" max="10" width="11" customWidth="1"/>
    <col min="11" max="11" width="9.83203125" customWidth="1"/>
  </cols>
  <sheetData>
    <row r="1" spans="1:12" ht="46" customHeight="1" x14ac:dyDescent="0.2">
      <c r="A1" s="95"/>
      <c r="B1" s="196" t="s">
        <v>165</v>
      </c>
      <c r="C1" s="197"/>
      <c r="D1" s="197"/>
      <c r="E1" s="197"/>
      <c r="F1" s="197"/>
      <c r="G1" s="197"/>
      <c r="H1" s="197"/>
      <c r="I1" s="197"/>
      <c r="J1" s="197"/>
      <c r="K1" s="198"/>
      <c r="L1" s="95"/>
    </row>
    <row r="2" spans="1:12" ht="23" customHeight="1" x14ac:dyDescent="0.2">
      <c r="A2" s="95"/>
      <c r="B2" s="199" t="s">
        <v>120</v>
      </c>
      <c r="C2" s="200"/>
      <c r="D2" s="200"/>
      <c r="E2" s="200"/>
      <c r="F2" s="200"/>
      <c r="G2" s="200"/>
      <c r="H2" s="200"/>
      <c r="I2" s="200"/>
      <c r="J2" s="200"/>
      <c r="K2" s="201"/>
      <c r="L2" s="95"/>
    </row>
    <row r="3" spans="1:12" ht="37" customHeight="1" x14ac:dyDescent="0.2">
      <c r="A3" s="95"/>
      <c r="B3" s="187" t="s">
        <v>123</v>
      </c>
      <c r="C3" s="188"/>
      <c r="D3" s="188"/>
      <c r="E3" s="188"/>
      <c r="F3" s="189"/>
      <c r="G3" s="80"/>
      <c r="H3" s="89" t="s">
        <v>212</v>
      </c>
      <c r="I3" s="90" t="s">
        <v>213</v>
      </c>
      <c r="J3" s="90" t="s">
        <v>214</v>
      </c>
      <c r="K3" s="88"/>
      <c r="L3" s="95"/>
    </row>
    <row r="4" spans="1:12" s="1" customFormat="1" ht="22" customHeight="1" x14ac:dyDescent="0.2">
      <c r="A4" s="95"/>
      <c r="B4" s="204" t="s">
        <v>1</v>
      </c>
      <c r="C4" s="205"/>
      <c r="D4" s="205"/>
      <c r="E4" s="206"/>
      <c r="F4" s="207"/>
      <c r="G4" s="202"/>
      <c r="H4" s="91">
        <f>Qual_Content_Analysis!D17</f>
        <v>1.69</v>
      </c>
      <c r="I4" s="91">
        <f>ROUND(AVERAGE(Qual_Content_Analysis!D4:D10),2)</f>
        <v>1.43</v>
      </c>
      <c r="J4" s="91">
        <f>ROUND(AVERAGE(Qual_Content_Analysis!D11:D16),2)</f>
        <v>2</v>
      </c>
      <c r="K4" s="65"/>
      <c r="L4" s="95"/>
    </row>
    <row r="5" spans="1:12" s="1" customFormat="1" ht="22" customHeight="1" x14ac:dyDescent="0.2">
      <c r="A5" s="95"/>
      <c r="B5" s="208" t="s">
        <v>12</v>
      </c>
      <c r="C5" s="209"/>
      <c r="D5" s="209"/>
      <c r="E5" s="210"/>
      <c r="F5" s="211"/>
      <c r="G5" s="202"/>
      <c r="H5" s="92">
        <f>Qual_Content_Analysis!E17</f>
        <v>1.31</v>
      </c>
      <c r="I5" s="92">
        <f>ROUND(AVERAGE(Qual_Content_Analysis!E4:E10),2)</f>
        <v>1.71</v>
      </c>
      <c r="J5" s="92">
        <f>ROUND(AVERAGE(Qual_Content_Analysis!E11:E16),2)</f>
        <v>0.83</v>
      </c>
      <c r="K5" s="65"/>
      <c r="L5" s="95"/>
    </row>
    <row r="6" spans="1:12" s="1" customFormat="1" ht="22" customHeight="1" x14ac:dyDescent="0.2">
      <c r="A6" s="95"/>
      <c r="B6" s="208" t="s">
        <v>2</v>
      </c>
      <c r="C6" s="209"/>
      <c r="D6" s="209"/>
      <c r="E6" s="210"/>
      <c r="F6" s="211"/>
      <c r="G6" s="202"/>
      <c r="H6" s="92">
        <f>Qual_Content_Analysis!F17</f>
        <v>1.46</v>
      </c>
      <c r="I6" s="92">
        <f>ROUND(AVERAGE(Qual_Content_Analysis!F4:F10),2)</f>
        <v>1.29</v>
      </c>
      <c r="J6" s="92">
        <f>ROUND(AVERAGE(Qual_Content_Analysis!F11:F16),2)</f>
        <v>1.67</v>
      </c>
      <c r="K6" s="65"/>
      <c r="L6" s="95"/>
    </row>
    <row r="7" spans="1:12" s="1" customFormat="1" ht="22" customHeight="1" x14ac:dyDescent="0.2">
      <c r="A7" s="95"/>
      <c r="B7" s="208" t="s">
        <v>3</v>
      </c>
      <c r="C7" s="209"/>
      <c r="D7" s="209"/>
      <c r="E7" s="210"/>
      <c r="F7" s="211"/>
      <c r="G7" s="202"/>
      <c r="H7" s="92">
        <f>Qual_Content_Analysis!G17</f>
        <v>1.92</v>
      </c>
      <c r="I7" s="92">
        <f>ROUND(AVERAGE(Qual_Content_Analysis!G4:G10),2)</f>
        <v>2</v>
      </c>
      <c r="J7" s="92">
        <f>ROUND(AVERAGE(Qual_Content_Analysis!G11:G16),2)</f>
        <v>1.83</v>
      </c>
      <c r="K7" s="65"/>
      <c r="L7" s="95"/>
    </row>
    <row r="8" spans="1:12" s="1" customFormat="1" ht="22" customHeight="1" x14ac:dyDescent="0.2">
      <c r="A8" s="95"/>
      <c r="B8" s="208" t="s">
        <v>4</v>
      </c>
      <c r="C8" s="209"/>
      <c r="D8" s="209"/>
      <c r="E8" s="210"/>
      <c r="F8" s="211"/>
      <c r="G8" s="202"/>
      <c r="H8" s="92">
        <f>Qual_Content_Analysis!H17</f>
        <v>0.92</v>
      </c>
      <c r="I8" s="92">
        <f>ROUND(AVERAGE(Qual_Content_Analysis!H4:H10),2)</f>
        <v>0.56999999999999995</v>
      </c>
      <c r="J8" s="92">
        <f>ROUND(AVERAGE(Qual_Content_Analysis!H11:H16),2)</f>
        <v>1.33</v>
      </c>
      <c r="K8" s="65"/>
      <c r="L8" s="95"/>
    </row>
    <row r="9" spans="1:12" s="1" customFormat="1" ht="22" customHeight="1" x14ac:dyDescent="0.2">
      <c r="A9" s="95"/>
      <c r="B9" s="190" t="s">
        <v>5</v>
      </c>
      <c r="C9" s="191"/>
      <c r="D9" s="191"/>
      <c r="E9" s="192"/>
      <c r="F9" s="193"/>
      <c r="G9" s="203"/>
      <c r="H9" s="94">
        <f>Qual_Content_Analysis!I17</f>
        <v>7.31</v>
      </c>
      <c r="I9" s="94">
        <f>ROUND(AVERAGE(Qual_Content_Analysis!I4:I10),2)</f>
        <v>7</v>
      </c>
      <c r="J9" s="94">
        <f>ROUND(AVERAGE(Qual_Content_Analysis!I11:I16),2)</f>
        <v>7.67</v>
      </c>
      <c r="K9" s="66"/>
      <c r="L9" s="95"/>
    </row>
    <row r="10" spans="1:12" ht="21" customHeight="1" x14ac:dyDescent="0.2">
      <c r="A10" s="95"/>
      <c r="B10" s="194"/>
      <c r="C10" s="194"/>
      <c r="D10" s="194"/>
      <c r="E10" s="194"/>
      <c r="F10" s="194"/>
      <c r="G10" s="194"/>
      <c r="H10" s="195"/>
      <c r="I10" s="195"/>
      <c r="J10" s="195"/>
      <c r="K10" s="194"/>
      <c r="L10" s="95"/>
    </row>
    <row r="11" spans="1:12" ht="23" customHeight="1" x14ac:dyDescent="0.2">
      <c r="A11" s="95"/>
      <c r="B11" s="199" t="s">
        <v>196</v>
      </c>
      <c r="C11" s="200"/>
      <c r="D11" s="200"/>
      <c r="E11" s="200"/>
      <c r="F11" s="200"/>
      <c r="G11" s="200"/>
      <c r="H11" s="200"/>
      <c r="I11" s="200"/>
      <c r="J11" s="200"/>
      <c r="K11" s="201"/>
      <c r="L11" s="95"/>
    </row>
    <row r="12" spans="1:12" ht="19" customHeight="1" x14ac:dyDescent="0.2">
      <c r="A12" s="95"/>
      <c r="B12" s="222"/>
      <c r="C12" s="223"/>
      <c r="D12" s="223"/>
      <c r="E12" s="223"/>
      <c r="F12" s="223"/>
      <c r="G12" s="223"/>
      <c r="H12" s="224"/>
      <c r="I12" s="224"/>
      <c r="J12" s="224"/>
      <c r="K12" s="225"/>
      <c r="L12" s="95"/>
    </row>
    <row r="13" spans="1:12" ht="23" customHeight="1" x14ac:dyDescent="0.2">
      <c r="A13" s="95"/>
      <c r="B13" s="226" t="s">
        <v>46</v>
      </c>
      <c r="C13" s="227"/>
      <c r="D13" s="227"/>
      <c r="E13" s="227"/>
      <c r="F13" s="228"/>
      <c r="G13" s="215"/>
      <c r="H13" s="91">
        <f>Quant_Comment_Coding!E28</f>
        <v>0.88</v>
      </c>
      <c r="I13" s="215"/>
      <c r="J13" s="217"/>
      <c r="K13" s="218"/>
      <c r="L13" s="95"/>
    </row>
    <row r="14" spans="1:12" ht="23" customHeight="1" x14ac:dyDescent="0.2">
      <c r="A14" s="95"/>
      <c r="B14" s="229" t="s">
        <v>8</v>
      </c>
      <c r="C14" s="230"/>
      <c r="D14" s="230"/>
      <c r="E14" s="230"/>
      <c r="F14" s="231"/>
      <c r="G14" s="202"/>
      <c r="H14" s="92">
        <f>Quant_Comment_Coding!F28</f>
        <v>1.25</v>
      </c>
      <c r="I14" s="95"/>
      <c r="J14" s="95"/>
      <c r="K14" s="219"/>
      <c r="L14" s="95"/>
    </row>
    <row r="15" spans="1:12" ht="23" customHeight="1" x14ac:dyDescent="0.2">
      <c r="A15" s="95"/>
      <c r="B15" s="229" t="s">
        <v>121</v>
      </c>
      <c r="C15" s="230"/>
      <c r="D15" s="230"/>
      <c r="E15" s="230"/>
      <c r="F15" s="231"/>
      <c r="G15" s="202"/>
      <c r="H15" s="92">
        <f>Quant_Comment_Coding!G28</f>
        <v>0.88</v>
      </c>
      <c r="I15" s="95"/>
      <c r="J15" s="95"/>
      <c r="K15" s="219"/>
      <c r="L15" s="95"/>
    </row>
    <row r="16" spans="1:12" ht="23" customHeight="1" x14ac:dyDescent="0.2">
      <c r="A16" s="95"/>
      <c r="B16" s="229" t="s">
        <v>47</v>
      </c>
      <c r="C16" s="230"/>
      <c r="D16" s="230"/>
      <c r="E16" s="230"/>
      <c r="F16" s="231"/>
      <c r="G16" s="202"/>
      <c r="H16" s="92">
        <f>Quant_Comment_Coding!H28</f>
        <v>1.5</v>
      </c>
      <c r="I16" s="95"/>
      <c r="J16" s="95"/>
      <c r="K16" s="219"/>
      <c r="L16" s="95"/>
    </row>
    <row r="17" spans="1:12" ht="23" customHeight="1" x14ac:dyDescent="0.2">
      <c r="A17" s="95"/>
      <c r="B17" s="229" t="s">
        <v>48</v>
      </c>
      <c r="C17" s="230"/>
      <c r="D17" s="230"/>
      <c r="E17" s="230"/>
      <c r="F17" s="231"/>
      <c r="G17" s="202"/>
      <c r="H17" s="92">
        <f>Quant_Comment_Coding!I28</f>
        <v>1.17</v>
      </c>
      <c r="I17" s="95"/>
      <c r="J17" s="95"/>
      <c r="K17" s="219"/>
      <c r="L17" s="95"/>
    </row>
    <row r="18" spans="1:12" ht="23" customHeight="1" x14ac:dyDescent="0.2">
      <c r="A18" s="95"/>
      <c r="B18" s="229" t="s">
        <v>49</v>
      </c>
      <c r="C18" s="230"/>
      <c r="D18" s="230"/>
      <c r="E18" s="230"/>
      <c r="F18" s="231"/>
      <c r="G18" s="202"/>
      <c r="H18" s="92">
        <f>Quant_Comment_Coding!J28</f>
        <v>3</v>
      </c>
      <c r="I18" s="95"/>
      <c r="J18" s="95"/>
      <c r="K18" s="219"/>
      <c r="L18" s="95"/>
    </row>
    <row r="19" spans="1:12" ht="23" customHeight="1" x14ac:dyDescent="0.2">
      <c r="A19" s="95"/>
      <c r="B19" s="212" t="s">
        <v>5</v>
      </c>
      <c r="C19" s="213"/>
      <c r="D19" s="213"/>
      <c r="E19" s="213"/>
      <c r="F19" s="214"/>
      <c r="G19" s="216"/>
      <c r="H19" s="93">
        <f>Quant_Comment_Coding!K28</f>
        <v>8.67</v>
      </c>
      <c r="I19" s="220"/>
      <c r="J19" s="220"/>
      <c r="K19" s="221"/>
      <c r="L19" s="95"/>
    </row>
    <row r="20" spans="1:12" ht="20" customHeight="1" x14ac:dyDescent="0.2">
      <c r="A20" s="95"/>
      <c r="B20" s="194"/>
      <c r="C20" s="194"/>
      <c r="D20" s="194"/>
      <c r="E20" s="194"/>
      <c r="F20" s="194"/>
      <c r="G20" s="194"/>
      <c r="H20" s="194"/>
      <c r="I20" s="194"/>
      <c r="J20" s="194"/>
      <c r="K20" s="194"/>
      <c r="L20" s="95"/>
    </row>
    <row r="21" spans="1:12" ht="20" customHeight="1" x14ac:dyDescent="0.2">
      <c r="A21" s="95"/>
      <c r="B21" s="261"/>
      <c r="C21" s="262"/>
      <c r="D21" s="262"/>
      <c r="E21" s="262"/>
      <c r="F21" s="262"/>
      <c r="G21" s="262"/>
      <c r="H21" s="262"/>
      <c r="I21" s="262"/>
      <c r="J21" s="262"/>
      <c r="K21" s="263"/>
      <c r="L21" s="95"/>
    </row>
    <row r="22" spans="1:12" ht="36" customHeight="1" x14ac:dyDescent="0.2">
      <c r="A22" s="95"/>
      <c r="B22" s="232" t="s">
        <v>197</v>
      </c>
      <c r="C22" s="233"/>
      <c r="D22" s="233"/>
      <c r="E22" s="233"/>
      <c r="F22" s="233"/>
      <c r="G22" s="233"/>
      <c r="H22" s="233"/>
      <c r="I22" s="233"/>
      <c r="J22" s="233"/>
      <c r="K22" s="234"/>
      <c r="L22" s="95"/>
    </row>
    <row r="23" spans="1:12" ht="20" customHeight="1" x14ac:dyDescent="0.2">
      <c r="A23" s="95"/>
      <c r="B23" s="264"/>
      <c r="C23" s="265"/>
      <c r="D23" s="265"/>
      <c r="E23" s="265"/>
      <c r="F23" s="265"/>
      <c r="G23" s="265"/>
      <c r="H23" s="265"/>
      <c r="I23" s="265"/>
      <c r="J23" s="265"/>
      <c r="K23" s="266"/>
      <c r="L23" s="95"/>
    </row>
    <row r="24" spans="1:12" ht="26" customHeight="1" x14ac:dyDescent="0.2">
      <c r="A24" s="95"/>
      <c r="B24" s="235" t="s">
        <v>155</v>
      </c>
      <c r="C24" s="236"/>
      <c r="D24" s="236"/>
      <c r="E24" s="236"/>
      <c r="F24" s="236"/>
      <c r="G24" s="236"/>
      <c r="H24" s="236"/>
      <c r="I24" s="236"/>
      <c r="J24" s="236"/>
      <c r="K24" s="237"/>
      <c r="L24" s="95"/>
    </row>
    <row r="25" spans="1:12" ht="63" customHeight="1" x14ac:dyDescent="0.2">
      <c r="A25" s="95"/>
      <c r="B25" s="238" t="s">
        <v>163</v>
      </c>
      <c r="C25" s="239"/>
      <c r="D25" s="239"/>
      <c r="E25" s="240" t="s">
        <v>223</v>
      </c>
      <c r="F25" s="240"/>
      <c r="G25" s="240"/>
      <c r="H25" s="240"/>
      <c r="I25" s="240"/>
      <c r="J25" s="240"/>
      <c r="K25" s="241"/>
      <c r="L25" s="95"/>
    </row>
    <row r="26" spans="1:12" ht="64" customHeight="1" x14ac:dyDescent="0.2">
      <c r="A26" s="95"/>
      <c r="B26" s="242" t="s">
        <v>162</v>
      </c>
      <c r="C26" s="243"/>
      <c r="D26" s="243"/>
      <c r="E26" s="244" t="s">
        <v>215</v>
      </c>
      <c r="F26" s="244"/>
      <c r="G26" s="244"/>
      <c r="H26" s="244"/>
      <c r="I26" s="244"/>
      <c r="J26" s="244"/>
      <c r="K26" s="245"/>
      <c r="L26" s="95"/>
    </row>
    <row r="27" spans="1:12" ht="79" customHeight="1" x14ac:dyDescent="0.2">
      <c r="A27" s="95"/>
      <c r="B27" s="246" t="s">
        <v>161</v>
      </c>
      <c r="C27" s="247"/>
      <c r="D27" s="247"/>
      <c r="E27" s="248" t="s">
        <v>216</v>
      </c>
      <c r="F27" s="248"/>
      <c r="G27" s="248"/>
      <c r="H27" s="248"/>
      <c r="I27" s="248"/>
      <c r="J27" s="248"/>
      <c r="K27" s="249"/>
      <c r="L27" s="95"/>
    </row>
    <row r="28" spans="1:12" ht="26" customHeight="1" x14ac:dyDescent="0.2">
      <c r="A28" s="95"/>
      <c r="B28" s="250" t="s">
        <v>156</v>
      </c>
      <c r="C28" s="251"/>
      <c r="D28" s="251"/>
      <c r="E28" s="251"/>
      <c r="F28" s="251"/>
      <c r="G28" s="251"/>
      <c r="H28" s="251"/>
      <c r="I28" s="251"/>
      <c r="J28" s="251"/>
      <c r="K28" s="252"/>
      <c r="L28" s="95"/>
    </row>
    <row r="29" spans="1:12" ht="52" customHeight="1" x14ac:dyDescent="0.2">
      <c r="A29" s="95"/>
      <c r="B29" s="253" t="s">
        <v>160</v>
      </c>
      <c r="C29" s="254"/>
      <c r="D29" s="254"/>
      <c r="E29" s="255" t="s">
        <v>217</v>
      </c>
      <c r="F29" s="255"/>
      <c r="G29" s="255"/>
      <c r="H29" s="255"/>
      <c r="I29" s="255"/>
      <c r="J29" s="255"/>
      <c r="K29" s="256"/>
      <c r="L29" s="95"/>
    </row>
    <row r="30" spans="1:12" ht="65" customHeight="1" x14ac:dyDescent="0.2">
      <c r="A30" s="95"/>
      <c r="B30" s="275" t="s">
        <v>159</v>
      </c>
      <c r="C30" s="276"/>
      <c r="D30" s="276"/>
      <c r="E30" s="277" t="s">
        <v>207</v>
      </c>
      <c r="F30" s="277"/>
      <c r="G30" s="277"/>
      <c r="H30" s="277"/>
      <c r="I30" s="277"/>
      <c r="J30" s="277"/>
      <c r="K30" s="278"/>
      <c r="L30" s="95"/>
    </row>
    <row r="31" spans="1:12" ht="53" customHeight="1" x14ac:dyDescent="0.2">
      <c r="A31" s="95"/>
      <c r="B31" s="279" t="s">
        <v>154</v>
      </c>
      <c r="C31" s="280"/>
      <c r="D31" s="280"/>
      <c r="E31" s="281" t="s">
        <v>218</v>
      </c>
      <c r="F31" s="281"/>
      <c r="G31" s="281"/>
      <c r="H31" s="281"/>
      <c r="I31" s="281"/>
      <c r="J31" s="281"/>
      <c r="K31" s="282"/>
      <c r="L31" s="95"/>
    </row>
    <row r="32" spans="1:12" ht="26" customHeight="1" x14ac:dyDescent="0.2">
      <c r="A32" s="95"/>
      <c r="B32" s="283" t="s">
        <v>164</v>
      </c>
      <c r="C32" s="284"/>
      <c r="D32" s="284"/>
      <c r="E32" s="284"/>
      <c r="F32" s="284"/>
      <c r="G32" s="284"/>
      <c r="H32" s="284"/>
      <c r="I32" s="284"/>
      <c r="J32" s="284"/>
      <c r="K32" s="285"/>
      <c r="L32" s="95"/>
    </row>
    <row r="33" spans="1:12" ht="68" customHeight="1" x14ac:dyDescent="0.2">
      <c r="A33" s="95"/>
      <c r="B33" s="267" t="s">
        <v>222</v>
      </c>
      <c r="C33" s="268"/>
      <c r="D33" s="268"/>
      <c r="E33" s="269" t="s">
        <v>221</v>
      </c>
      <c r="F33" s="269"/>
      <c r="G33" s="269"/>
      <c r="H33" s="269"/>
      <c r="I33" s="269"/>
      <c r="J33" s="269"/>
      <c r="K33" s="270"/>
      <c r="L33" s="95"/>
    </row>
    <row r="34" spans="1:12" ht="53" customHeight="1" x14ac:dyDescent="0.2">
      <c r="A34" s="95"/>
      <c r="B34" s="271" t="s">
        <v>157</v>
      </c>
      <c r="C34" s="272"/>
      <c r="D34" s="272"/>
      <c r="E34" s="273" t="s">
        <v>198</v>
      </c>
      <c r="F34" s="273"/>
      <c r="G34" s="273"/>
      <c r="H34" s="273"/>
      <c r="I34" s="273"/>
      <c r="J34" s="273"/>
      <c r="K34" s="274"/>
      <c r="L34" s="95"/>
    </row>
    <row r="35" spans="1:12" ht="66" customHeight="1" x14ac:dyDescent="0.2">
      <c r="A35" s="95"/>
      <c r="B35" s="275" t="s">
        <v>158</v>
      </c>
      <c r="C35" s="276"/>
      <c r="D35" s="276"/>
      <c r="E35" s="277" t="s">
        <v>219</v>
      </c>
      <c r="F35" s="277"/>
      <c r="G35" s="277"/>
      <c r="H35" s="277"/>
      <c r="I35" s="277"/>
      <c r="J35" s="277"/>
      <c r="K35" s="278"/>
      <c r="L35" s="95"/>
    </row>
    <row r="36" spans="1:12" ht="76" customHeight="1" x14ac:dyDescent="0.2">
      <c r="A36" s="95"/>
      <c r="B36" s="257" t="s">
        <v>166</v>
      </c>
      <c r="C36" s="258"/>
      <c r="D36" s="258"/>
      <c r="E36" s="259" t="s">
        <v>220</v>
      </c>
      <c r="F36" s="259"/>
      <c r="G36" s="259"/>
      <c r="H36" s="259"/>
      <c r="I36" s="259"/>
      <c r="J36" s="259"/>
      <c r="K36" s="260"/>
      <c r="L36" s="95"/>
    </row>
    <row r="37" spans="1:12" ht="20" customHeight="1" x14ac:dyDescent="0.2">
      <c r="A37" s="95"/>
      <c r="B37" s="194"/>
      <c r="C37" s="194"/>
      <c r="D37" s="194"/>
      <c r="E37" s="194"/>
      <c r="F37" s="194"/>
      <c r="G37" s="194"/>
      <c r="H37" s="194"/>
      <c r="I37" s="194"/>
      <c r="J37" s="194"/>
      <c r="K37" s="194"/>
      <c r="L37" s="95"/>
    </row>
  </sheetData>
  <mergeCells count="52">
    <mergeCell ref="B36:D36"/>
    <mergeCell ref="E36:K36"/>
    <mergeCell ref="B21:K21"/>
    <mergeCell ref="B23:K23"/>
    <mergeCell ref="B37:K37"/>
    <mergeCell ref="B33:D33"/>
    <mergeCell ref="E33:K33"/>
    <mergeCell ref="B34:D34"/>
    <mergeCell ref="E34:K34"/>
    <mergeCell ref="B35:D35"/>
    <mergeCell ref="E35:K35"/>
    <mergeCell ref="B30:D30"/>
    <mergeCell ref="E30:K30"/>
    <mergeCell ref="B31:D31"/>
    <mergeCell ref="E31:K31"/>
    <mergeCell ref="B32:K32"/>
    <mergeCell ref="B27:D27"/>
    <mergeCell ref="E27:K27"/>
    <mergeCell ref="B28:K28"/>
    <mergeCell ref="B29:D29"/>
    <mergeCell ref="E29:K29"/>
    <mergeCell ref="B22:K22"/>
    <mergeCell ref="B24:K24"/>
    <mergeCell ref="B25:D25"/>
    <mergeCell ref="E25:K25"/>
    <mergeCell ref="B26:D26"/>
    <mergeCell ref="E26:K26"/>
    <mergeCell ref="B20:K20"/>
    <mergeCell ref="B11:K11"/>
    <mergeCell ref="B12:K12"/>
    <mergeCell ref="B13:F13"/>
    <mergeCell ref="B14:F14"/>
    <mergeCell ref="B15:F15"/>
    <mergeCell ref="B16:F16"/>
    <mergeCell ref="B17:F17"/>
    <mergeCell ref="B18:F18"/>
    <mergeCell ref="A1:A37"/>
    <mergeCell ref="L1:L37"/>
    <mergeCell ref="B3:F3"/>
    <mergeCell ref="B9:F9"/>
    <mergeCell ref="B10:K10"/>
    <mergeCell ref="B1:K1"/>
    <mergeCell ref="B2:K2"/>
    <mergeCell ref="G4:G9"/>
    <mergeCell ref="B4:F4"/>
    <mergeCell ref="B5:F5"/>
    <mergeCell ref="B6:F6"/>
    <mergeCell ref="B7:F7"/>
    <mergeCell ref="B8:F8"/>
    <mergeCell ref="B19:F19"/>
    <mergeCell ref="G13:G19"/>
    <mergeCell ref="I13:K1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25BCD-2994-7541-9CCE-2150572AF06B}">
  <dimension ref="A1:U22"/>
  <sheetViews>
    <sheetView zoomScaleNormal="100" workbookViewId="0">
      <pane ySplit="6" topLeftCell="A7" activePane="bottomLeft" state="frozen"/>
      <selection pane="bottomLeft" activeCell="B2" sqref="B2:T2"/>
    </sheetView>
  </sheetViews>
  <sheetFormatPr baseColWidth="10" defaultRowHeight="16" x14ac:dyDescent="0.2"/>
  <cols>
    <col min="1" max="1" width="3" customWidth="1"/>
    <col min="2" max="3" width="11.6640625" customWidth="1"/>
    <col min="4" max="4" width="4.6640625" hidden="1" customWidth="1"/>
    <col min="5" max="10" width="11.6640625" customWidth="1"/>
    <col min="11" max="11" width="3.6640625" customWidth="1"/>
    <col min="17" max="17" width="14.5" customWidth="1"/>
    <col min="20" max="20" width="15.1640625" customWidth="1"/>
  </cols>
  <sheetData>
    <row r="1" spans="1:21" ht="39" customHeight="1" x14ac:dyDescent="0.35">
      <c r="A1" s="95"/>
      <c r="B1" s="104" t="s">
        <v>122</v>
      </c>
      <c r="C1" s="105"/>
      <c r="D1" s="105"/>
      <c r="E1" s="105"/>
      <c r="F1" s="105"/>
      <c r="G1" s="105"/>
      <c r="H1" s="105"/>
      <c r="I1" s="105"/>
      <c r="J1" s="105"/>
      <c r="K1" s="106"/>
      <c r="L1" s="106"/>
      <c r="M1" s="106"/>
      <c r="N1" s="106"/>
      <c r="O1" s="106"/>
      <c r="P1" s="106"/>
      <c r="Q1" s="106"/>
      <c r="R1" s="106"/>
      <c r="S1" s="106"/>
      <c r="T1" s="106"/>
      <c r="U1" s="95"/>
    </row>
    <row r="2" spans="1:21" ht="59" customHeight="1" x14ac:dyDescent="0.25">
      <c r="A2" s="95"/>
      <c r="B2" s="107" t="s">
        <v>225</v>
      </c>
      <c r="C2" s="108"/>
      <c r="D2" s="108"/>
      <c r="E2" s="108"/>
      <c r="F2" s="108"/>
      <c r="G2" s="108"/>
      <c r="H2" s="108"/>
      <c r="I2" s="108"/>
      <c r="J2" s="108"/>
      <c r="K2" s="109"/>
      <c r="L2" s="109"/>
      <c r="M2" s="109"/>
      <c r="N2" s="109"/>
      <c r="O2" s="109"/>
      <c r="P2" s="109"/>
      <c r="Q2" s="109"/>
      <c r="R2" s="109"/>
      <c r="S2" s="109"/>
      <c r="T2" s="110"/>
      <c r="U2" s="95"/>
    </row>
    <row r="3" spans="1:21" ht="20" customHeight="1" x14ac:dyDescent="0.2">
      <c r="A3" s="95"/>
      <c r="B3" s="102"/>
      <c r="C3" s="102"/>
      <c r="D3" s="102"/>
      <c r="E3" s="102"/>
      <c r="F3" s="102"/>
      <c r="G3" s="102"/>
      <c r="H3" s="102"/>
      <c r="I3" s="102"/>
      <c r="J3" s="102"/>
      <c r="K3" s="103"/>
      <c r="L3" s="102"/>
      <c r="M3" s="102"/>
      <c r="N3" s="102"/>
      <c r="O3" s="102"/>
      <c r="P3" s="102"/>
      <c r="Q3" s="102"/>
      <c r="R3" s="102"/>
      <c r="S3" s="102"/>
      <c r="T3" s="102"/>
      <c r="U3" s="95"/>
    </row>
    <row r="4" spans="1:21" ht="29" customHeight="1" x14ac:dyDescent="0.2">
      <c r="A4" s="95"/>
      <c r="B4" s="161" t="s">
        <v>224</v>
      </c>
      <c r="C4" s="162"/>
      <c r="D4" s="162"/>
      <c r="E4" s="162"/>
      <c r="F4" s="162"/>
      <c r="G4" s="162"/>
      <c r="H4" s="162"/>
      <c r="I4" s="162"/>
      <c r="J4" s="163"/>
      <c r="K4" s="115"/>
      <c r="L4" s="148" t="s">
        <v>136</v>
      </c>
      <c r="M4" s="149"/>
      <c r="N4" s="149"/>
      <c r="O4" s="149"/>
      <c r="P4" s="149"/>
      <c r="Q4" s="149"/>
      <c r="R4" s="149"/>
      <c r="S4" s="149"/>
      <c r="T4" s="149"/>
      <c r="U4" s="95"/>
    </row>
    <row r="5" spans="1:21" ht="28" customHeight="1" x14ac:dyDescent="0.2">
      <c r="A5" s="95"/>
      <c r="B5" s="150" t="s">
        <v>199</v>
      </c>
      <c r="C5" s="151"/>
      <c r="D5" s="151"/>
      <c r="E5" s="151"/>
      <c r="F5" s="151"/>
      <c r="G5" s="151"/>
      <c r="H5" s="151"/>
      <c r="I5" s="151"/>
      <c r="J5" s="152"/>
      <c r="K5" s="115"/>
      <c r="L5" s="150" t="s">
        <v>137</v>
      </c>
      <c r="M5" s="151"/>
      <c r="N5" s="151"/>
      <c r="O5" s="151"/>
      <c r="P5" s="151"/>
      <c r="Q5" s="151"/>
      <c r="R5" s="151"/>
      <c r="S5" s="151"/>
      <c r="T5" s="152"/>
      <c r="U5" s="95"/>
    </row>
    <row r="6" spans="1:21" ht="32" customHeight="1" x14ac:dyDescent="0.3">
      <c r="A6" s="95"/>
      <c r="B6" s="123" t="s">
        <v>123</v>
      </c>
      <c r="C6" s="124"/>
      <c r="D6" s="124"/>
      <c r="E6" s="123" t="s">
        <v>124</v>
      </c>
      <c r="F6" s="124"/>
      <c r="G6" s="124"/>
      <c r="H6" s="123" t="s">
        <v>125</v>
      </c>
      <c r="I6" s="124"/>
      <c r="J6" s="124"/>
      <c r="K6" s="115"/>
      <c r="L6" s="123" t="s">
        <v>138</v>
      </c>
      <c r="M6" s="124"/>
      <c r="N6" s="124"/>
      <c r="O6" s="123" t="s">
        <v>139</v>
      </c>
      <c r="P6" s="124"/>
      <c r="Q6" s="124"/>
      <c r="R6" s="123" t="s">
        <v>140</v>
      </c>
      <c r="S6" s="124"/>
      <c r="T6" s="124"/>
      <c r="U6" s="95"/>
    </row>
    <row r="7" spans="1:21" ht="63" customHeight="1" x14ac:dyDescent="0.25">
      <c r="A7" s="95"/>
      <c r="B7" s="157" t="s">
        <v>1</v>
      </c>
      <c r="C7" s="158"/>
      <c r="D7" s="159"/>
      <c r="E7" s="131" t="s">
        <v>126</v>
      </c>
      <c r="F7" s="132"/>
      <c r="G7" s="133"/>
      <c r="H7" s="131" t="s">
        <v>131</v>
      </c>
      <c r="I7" s="132"/>
      <c r="J7" s="160"/>
      <c r="K7" s="115"/>
      <c r="L7" s="134" t="s">
        <v>46</v>
      </c>
      <c r="M7" s="135"/>
      <c r="N7" s="136"/>
      <c r="O7" s="131" t="s">
        <v>152</v>
      </c>
      <c r="P7" s="132"/>
      <c r="Q7" s="133"/>
      <c r="R7" s="125" t="s">
        <v>142</v>
      </c>
      <c r="S7" s="126"/>
      <c r="T7" s="127"/>
      <c r="U7" s="95"/>
    </row>
    <row r="8" spans="1:21" ht="75" customHeight="1" x14ac:dyDescent="0.25">
      <c r="A8" s="95"/>
      <c r="B8" s="137" t="s">
        <v>12</v>
      </c>
      <c r="C8" s="138"/>
      <c r="D8" s="139"/>
      <c r="E8" s="119" t="s">
        <v>127</v>
      </c>
      <c r="F8" s="117"/>
      <c r="G8" s="118"/>
      <c r="H8" s="119" t="s">
        <v>132</v>
      </c>
      <c r="I8" s="117"/>
      <c r="J8" s="153"/>
      <c r="K8" s="115"/>
      <c r="L8" s="137" t="s">
        <v>141</v>
      </c>
      <c r="M8" s="138"/>
      <c r="N8" s="139"/>
      <c r="O8" s="119" t="s">
        <v>143</v>
      </c>
      <c r="P8" s="117"/>
      <c r="Q8" s="118"/>
      <c r="R8" s="128" t="s">
        <v>144</v>
      </c>
      <c r="S8" s="129"/>
      <c r="T8" s="130"/>
      <c r="U8" s="95"/>
    </row>
    <row r="9" spans="1:21" ht="79" customHeight="1" x14ac:dyDescent="0.25">
      <c r="A9" s="95"/>
      <c r="B9" s="143" t="s">
        <v>2</v>
      </c>
      <c r="C9" s="138"/>
      <c r="D9" s="139"/>
      <c r="E9" s="116" t="s">
        <v>128</v>
      </c>
      <c r="F9" s="117"/>
      <c r="G9" s="118"/>
      <c r="H9" s="116" t="s">
        <v>133</v>
      </c>
      <c r="I9" s="117"/>
      <c r="J9" s="153"/>
      <c r="K9" s="115"/>
      <c r="L9" s="143" t="s">
        <v>9</v>
      </c>
      <c r="M9" s="138"/>
      <c r="N9" s="139"/>
      <c r="O9" s="116" t="s">
        <v>145</v>
      </c>
      <c r="P9" s="117"/>
      <c r="Q9" s="118"/>
      <c r="R9" s="144" t="s">
        <v>146</v>
      </c>
      <c r="S9" s="129"/>
      <c r="T9" s="130"/>
      <c r="U9" s="95"/>
    </row>
    <row r="10" spans="1:21" ht="70" customHeight="1" x14ac:dyDescent="0.25">
      <c r="A10" s="95"/>
      <c r="B10" s="137" t="s">
        <v>3</v>
      </c>
      <c r="C10" s="138"/>
      <c r="D10" s="139"/>
      <c r="E10" s="119" t="s">
        <v>129</v>
      </c>
      <c r="F10" s="117"/>
      <c r="G10" s="118"/>
      <c r="H10" s="119" t="s">
        <v>134</v>
      </c>
      <c r="I10" s="117"/>
      <c r="J10" s="153"/>
      <c r="K10" s="115"/>
      <c r="L10" s="137" t="s">
        <v>47</v>
      </c>
      <c r="M10" s="138"/>
      <c r="N10" s="139"/>
      <c r="O10" s="119" t="s">
        <v>153</v>
      </c>
      <c r="P10" s="117"/>
      <c r="Q10" s="118"/>
      <c r="R10" s="128" t="s">
        <v>147</v>
      </c>
      <c r="S10" s="129"/>
      <c r="T10" s="130"/>
      <c r="U10" s="95"/>
    </row>
    <row r="11" spans="1:21" ht="63" customHeight="1" x14ac:dyDescent="0.25">
      <c r="A11" s="95"/>
      <c r="B11" s="143" t="s">
        <v>4</v>
      </c>
      <c r="C11" s="138"/>
      <c r="D11" s="139"/>
      <c r="E11" s="116" t="s">
        <v>130</v>
      </c>
      <c r="F11" s="117"/>
      <c r="G11" s="118"/>
      <c r="H11" s="154" t="s">
        <v>135</v>
      </c>
      <c r="I11" s="155"/>
      <c r="J11" s="156"/>
      <c r="K11" s="115"/>
      <c r="L11" s="143" t="s">
        <v>48</v>
      </c>
      <c r="M11" s="138"/>
      <c r="N11" s="139"/>
      <c r="O11" s="116" t="s">
        <v>148</v>
      </c>
      <c r="P11" s="117"/>
      <c r="Q11" s="118"/>
      <c r="R11" s="144" t="s">
        <v>149</v>
      </c>
      <c r="S11" s="129"/>
      <c r="T11" s="130"/>
      <c r="U11" s="95"/>
    </row>
    <row r="12" spans="1:21" ht="52" customHeight="1" x14ac:dyDescent="0.25">
      <c r="A12" s="95"/>
      <c r="B12" s="111"/>
      <c r="C12" s="112"/>
      <c r="D12" s="113"/>
      <c r="E12" s="96"/>
      <c r="F12" s="97"/>
      <c r="G12" s="114"/>
      <c r="H12" s="96"/>
      <c r="I12" s="97"/>
      <c r="J12" s="98"/>
      <c r="K12" s="115"/>
      <c r="L12" s="140" t="s">
        <v>49</v>
      </c>
      <c r="M12" s="141"/>
      <c r="N12" s="142"/>
      <c r="O12" s="120" t="s">
        <v>150</v>
      </c>
      <c r="P12" s="121"/>
      <c r="Q12" s="122"/>
      <c r="R12" s="96" t="s">
        <v>151</v>
      </c>
      <c r="S12" s="97"/>
      <c r="T12" s="98"/>
      <c r="U12" s="95"/>
    </row>
    <row r="13" spans="1:21" ht="20" customHeight="1" x14ac:dyDescent="0.2">
      <c r="A13" s="95"/>
      <c r="B13" s="145"/>
      <c r="C13" s="146"/>
      <c r="D13" s="146"/>
      <c r="E13" s="146"/>
      <c r="F13" s="146"/>
      <c r="G13" s="146"/>
      <c r="H13" s="146"/>
      <c r="I13" s="146"/>
      <c r="J13" s="147"/>
      <c r="K13" s="115"/>
      <c r="L13" s="99"/>
      <c r="M13" s="100"/>
      <c r="N13" s="100"/>
      <c r="O13" s="100"/>
      <c r="P13" s="100"/>
      <c r="Q13" s="100"/>
      <c r="R13" s="100"/>
      <c r="S13" s="100"/>
      <c r="T13" s="101"/>
      <c r="U13" s="95"/>
    </row>
    <row r="14" spans="1:21" ht="22" customHeight="1" x14ac:dyDescent="0.2"/>
    <row r="15" spans="1:21" ht="31" customHeight="1" x14ac:dyDescent="0.2"/>
    <row r="16" spans="1:21" ht="61" customHeight="1" x14ac:dyDescent="0.2"/>
    <row r="17" ht="75" customHeight="1" x14ac:dyDescent="0.2"/>
    <row r="18" ht="73" customHeight="1" x14ac:dyDescent="0.2"/>
    <row r="19" ht="61" customHeight="1" x14ac:dyDescent="0.2"/>
    <row r="20" ht="75" customHeight="1" x14ac:dyDescent="0.2"/>
    <row r="21" ht="46" customHeight="1" x14ac:dyDescent="0.2"/>
    <row r="22" ht="20" customHeight="1" x14ac:dyDescent="0.2"/>
  </sheetData>
  <mergeCells count="54">
    <mergeCell ref="B13:J13"/>
    <mergeCell ref="L4:T4"/>
    <mergeCell ref="L5:T5"/>
    <mergeCell ref="H10:J10"/>
    <mergeCell ref="H11:J11"/>
    <mergeCell ref="B5:J5"/>
    <mergeCell ref="B6:D6"/>
    <mergeCell ref="B7:D7"/>
    <mergeCell ref="B8:D8"/>
    <mergeCell ref="B9:D9"/>
    <mergeCell ref="H6:J6"/>
    <mergeCell ref="H7:J7"/>
    <mergeCell ref="H8:J8"/>
    <mergeCell ref="H9:J9"/>
    <mergeCell ref="B4:J4"/>
    <mergeCell ref="L9:N9"/>
    <mergeCell ref="B10:D10"/>
    <mergeCell ref="B11:D11"/>
    <mergeCell ref="R9:T9"/>
    <mergeCell ref="R10:T10"/>
    <mergeCell ref="R11:T11"/>
    <mergeCell ref="L6:N6"/>
    <mergeCell ref="L7:N7"/>
    <mergeCell ref="L8:N8"/>
    <mergeCell ref="L12:N12"/>
    <mergeCell ref="E6:G6"/>
    <mergeCell ref="E7:G7"/>
    <mergeCell ref="E8:G8"/>
    <mergeCell ref="E9:G9"/>
    <mergeCell ref="E10:G10"/>
    <mergeCell ref="E11:G11"/>
    <mergeCell ref="L10:N10"/>
    <mergeCell ref="L11:N11"/>
    <mergeCell ref="R7:T7"/>
    <mergeCell ref="R8:T8"/>
    <mergeCell ref="O6:Q6"/>
    <mergeCell ref="O7:Q7"/>
    <mergeCell ref="O8:Q8"/>
    <mergeCell ref="A1:A13"/>
    <mergeCell ref="U1:U13"/>
    <mergeCell ref="R12:T12"/>
    <mergeCell ref="L13:T13"/>
    <mergeCell ref="B3:T3"/>
    <mergeCell ref="B1:T1"/>
    <mergeCell ref="B2:T2"/>
    <mergeCell ref="B12:D12"/>
    <mergeCell ref="E12:G12"/>
    <mergeCell ref="H12:J12"/>
    <mergeCell ref="K4:K13"/>
    <mergeCell ref="O9:Q9"/>
    <mergeCell ref="O10:Q10"/>
    <mergeCell ref="O11:Q11"/>
    <mergeCell ref="O12:Q12"/>
    <mergeCell ref="R6:T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3E905-949B-2544-83EB-16EFD8F80C6D}">
  <dimension ref="A1:F29"/>
  <sheetViews>
    <sheetView tabSelected="1" workbookViewId="0">
      <selection activeCell="D12" sqref="D12"/>
    </sheetView>
  </sheetViews>
  <sheetFormatPr baseColWidth="10" defaultRowHeight="16" x14ac:dyDescent="0.2"/>
  <cols>
    <col min="1" max="1" width="30.83203125" bestFit="1" customWidth="1"/>
    <col min="2" max="2" width="16.5" bestFit="1" customWidth="1"/>
    <col min="3" max="3" width="30.83203125" bestFit="1" customWidth="1"/>
  </cols>
  <sheetData>
    <row r="1" spans="1:6" x14ac:dyDescent="0.2">
      <c r="A1" s="312" t="s">
        <v>123</v>
      </c>
      <c r="B1" s="312" t="s">
        <v>226</v>
      </c>
      <c r="C1" s="313" t="s">
        <v>227</v>
      </c>
    </row>
    <row r="2" spans="1:6" x14ac:dyDescent="0.2">
      <c r="A2" s="308" t="s">
        <v>1</v>
      </c>
      <c r="B2" s="309" t="s">
        <v>212</v>
      </c>
      <c r="C2" s="310">
        <v>1.69</v>
      </c>
      <c r="F2" s="311"/>
    </row>
    <row r="3" spans="1:6" x14ac:dyDescent="0.2">
      <c r="A3" s="305" t="s">
        <v>1</v>
      </c>
      <c r="B3" s="286" t="s">
        <v>213</v>
      </c>
      <c r="C3" s="293">
        <v>1.43</v>
      </c>
    </row>
    <row r="4" spans="1:6" x14ac:dyDescent="0.2">
      <c r="A4" s="304" t="s">
        <v>1</v>
      </c>
      <c r="B4" s="287" t="s">
        <v>214</v>
      </c>
      <c r="C4" s="292">
        <v>2</v>
      </c>
    </row>
    <row r="5" spans="1:6" x14ac:dyDescent="0.2">
      <c r="A5" s="305" t="s">
        <v>12</v>
      </c>
      <c r="B5" s="286" t="s">
        <v>212</v>
      </c>
      <c r="C5" s="293">
        <v>1.31</v>
      </c>
    </row>
    <row r="6" spans="1:6" x14ac:dyDescent="0.2">
      <c r="A6" s="304" t="s">
        <v>12</v>
      </c>
      <c r="B6" s="287" t="s">
        <v>213</v>
      </c>
      <c r="C6" s="292">
        <v>1.71</v>
      </c>
    </row>
    <row r="7" spans="1:6" x14ac:dyDescent="0.2">
      <c r="A7" s="305" t="s">
        <v>12</v>
      </c>
      <c r="B7" s="286" t="s">
        <v>214</v>
      </c>
      <c r="C7" s="293">
        <v>0.83</v>
      </c>
    </row>
    <row r="8" spans="1:6" x14ac:dyDescent="0.2">
      <c r="A8" s="304" t="s">
        <v>2</v>
      </c>
      <c r="B8" s="287" t="s">
        <v>212</v>
      </c>
      <c r="C8" s="292">
        <v>1.46</v>
      </c>
    </row>
    <row r="9" spans="1:6" x14ac:dyDescent="0.2">
      <c r="A9" s="305" t="s">
        <v>2</v>
      </c>
      <c r="B9" s="286" t="s">
        <v>213</v>
      </c>
      <c r="C9" s="293">
        <v>1.29</v>
      </c>
    </row>
    <row r="10" spans="1:6" x14ac:dyDescent="0.2">
      <c r="A10" s="304" t="s">
        <v>2</v>
      </c>
      <c r="B10" s="287" t="s">
        <v>214</v>
      </c>
      <c r="C10" s="292">
        <v>1.67</v>
      </c>
    </row>
    <row r="11" spans="1:6" x14ac:dyDescent="0.2">
      <c r="A11" s="305" t="s">
        <v>3</v>
      </c>
      <c r="B11" s="286" t="s">
        <v>212</v>
      </c>
      <c r="C11" s="293">
        <v>1.92</v>
      </c>
    </row>
    <row r="12" spans="1:6" x14ac:dyDescent="0.2">
      <c r="A12" s="304" t="s">
        <v>3</v>
      </c>
      <c r="B12" s="287" t="s">
        <v>213</v>
      </c>
      <c r="C12" s="292">
        <v>2</v>
      </c>
    </row>
    <row r="13" spans="1:6" x14ac:dyDescent="0.2">
      <c r="A13" s="305" t="s">
        <v>3</v>
      </c>
      <c r="B13" s="286" t="s">
        <v>214</v>
      </c>
      <c r="C13" s="293">
        <v>1.83</v>
      </c>
    </row>
    <row r="14" spans="1:6" x14ac:dyDescent="0.2">
      <c r="A14" s="304" t="s">
        <v>4</v>
      </c>
      <c r="B14" s="287" t="s">
        <v>212</v>
      </c>
      <c r="C14" s="292">
        <v>0.92</v>
      </c>
    </row>
    <row r="15" spans="1:6" x14ac:dyDescent="0.2">
      <c r="A15" s="305" t="s">
        <v>4</v>
      </c>
      <c r="B15" s="286" t="s">
        <v>213</v>
      </c>
      <c r="C15" s="293">
        <v>0.56999999999999995</v>
      </c>
    </row>
    <row r="16" spans="1:6" x14ac:dyDescent="0.2">
      <c r="A16" s="306" t="s">
        <v>4</v>
      </c>
      <c r="B16" s="307" t="s">
        <v>214</v>
      </c>
      <c r="C16" s="295">
        <v>1.33</v>
      </c>
    </row>
    <row r="18" spans="1:4" x14ac:dyDescent="0.2">
      <c r="A18" s="315" t="s">
        <v>138</v>
      </c>
      <c r="B18" s="315" t="s">
        <v>227</v>
      </c>
    </row>
    <row r="19" spans="1:4" x14ac:dyDescent="0.2">
      <c r="A19" s="314" t="s">
        <v>47</v>
      </c>
      <c r="B19" s="310">
        <v>1.5</v>
      </c>
    </row>
    <row r="20" spans="1:4" x14ac:dyDescent="0.2">
      <c r="A20" s="291" t="s">
        <v>8</v>
      </c>
      <c r="B20" s="293">
        <v>1.25</v>
      </c>
    </row>
    <row r="21" spans="1:4" x14ac:dyDescent="0.2">
      <c r="A21" s="290" t="s">
        <v>48</v>
      </c>
      <c r="B21" s="292">
        <v>1.17</v>
      </c>
    </row>
    <row r="22" spans="1:4" x14ac:dyDescent="0.2">
      <c r="A22" s="291" t="s">
        <v>46</v>
      </c>
      <c r="B22" s="293">
        <v>0.88</v>
      </c>
    </row>
    <row r="23" spans="1:4" x14ac:dyDescent="0.2">
      <c r="A23" s="294" t="s">
        <v>9</v>
      </c>
      <c r="B23" s="295">
        <v>0.88</v>
      </c>
    </row>
    <row r="25" spans="1:4" x14ac:dyDescent="0.2">
      <c r="A25" s="315" t="s">
        <v>228</v>
      </c>
      <c r="B25" s="315" t="s">
        <v>229</v>
      </c>
      <c r="C25" s="315" t="s">
        <v>123</v>
      </c>
      <c r="D25" s="315" t="s">
        <v>227</v>
      </c>
    </row>
    <row r="26" spans="1:4" x14ac:dyDescent="0.2">
      <c r="A26" s="314" t="s">
        <v>233</v>
      </c>
      <c r="B26" s="316" t="s">
        <v>230</v>
      </c>
      <c r="C26" s="317" t="s">
        <v>3</v>
      </c>
      <c r="D26" s="318">
        <v>1.92</v>
      </c>
    </row>
    <row r="27" spans="1:4" x14ac:dyDescent="0.2">
      <c r="A27" s="291" t="s">
        <v>233</v>
      </c>
      <c r="B27" s="289" t="s">
        <v>231</v>
      </c>
      <c r="C27" s="298" t="s">
        <v>47</v>
      </c>
      <c r="D27" s="300">
        <v>1.5</v>
      </c>
    </row>
    <row r="28" spans="1:4" x14ac:dyDescent="0.2">
      <c r="A28" s="290" t="s">
        <v>234</v>
      </c>
      <c r="B28" s="288" t="s">
        <v>232</v>
      </c>
      <c r="C28" s="297" t="s">
        <v>12</v>
      </c>
      <c r="D28" s="299">
        <v>1.31</v>
      </c>
    </row>
    <row r="29" spans="1:4" x14ac:dyDescent="0.2">
      <c r="A29" s="301" t="s">
        <v>234</v>
      </c>
      <c r="B29" s="302" t="s">
        <v>231</v>
      </c>
      <c r="C29" s="303" t="s">
        <v>9</v>
      </c>
      <c r="D29" s="296">
        <v>0.88</v>
      </c>
    </row>
  </sheetData>
  <pageMargins left="0.7" right="0.7" top="0.75" bottom="0.75" header="0.3" footer="0.3"/>
  <tableParts count="3">
    <tablePart r:id="rId1"/>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Qual_Content_Analysis</vt:lpstr>
      <vt:lpstr>Raw_Qual_Data</vt:lpstr>
      <vt:lpstr>Quant_Comment_Coding</vt:lpstr>
      <vt:lpstr>Analysis_Summary</vt:lpstr>
      <vt:lpstr>Coding_Instruments</vt:lpstr>
      <vt:lpstr>Tableau_Data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Ambrosia Ardenvale-Wood</dc:creator>
  <cp:lastModifiedBy>Ambrosia Ardenvale-Wood</cp:lastModifiedBy>
  <dcterms:created xsi:type="dcterms:W3CDTF">2026-06-09T19:54:15Z</dcterms:created>
  <dcterms:modified xsi:type="dcterms:W3CDTF">2026-07-03T18:08:10Z</dcterms:modified>
</cp:coreProperties>
</file>